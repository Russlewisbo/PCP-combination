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usselllewis/main/PCP_combo_thesis/"/>
    </mc:Choice>
  </mc:AlternateContent>
  <xr:revisionPtr revIDLastSave="0" documentId="11_8196378CC32FF95A9E0C3366A8C065F2D15BE000" xr6:coauthVersionLast="47" xr6:coauthVersionMax="47" xr10:uidLastSave="{00000000-0000-0000-0000-000000000000}"/>
  <bookViews>
    <workbookView xWindow="0" yWindow="780" windowWidth="28360" windowHeight="21420" tabRatio="500" activeTab="9" xr2:uid="{00000000-000D-0000-FFFF-FFFF00000000}"/>
  </bookViews>
  <sheets>
    <sheet name="README" sheetId="1" r:id="rId1"/>
    <sheet name="1_Study_characteristics" sheetId="2" r:id="rId2"/>
    <sheet name="2_Arms_covariates" sheetId="3" r:id="rId3"/>
    <sheet name="3_Outcomes" sheetId="4" r:id="rId4"/>
    <sheet name="4_Beta_D_glucan" sheetId="5" r:id="rId5"/>
    <sheet name="5_Corticosteroids" sheetId="6" r:id="rId6"/>
    <sheet name="6_Risk_of_bias" sheetId="7" r:id="rId7"/>
    <sheet name="7_Author_contact" sheetId="8" r:id="rId8"/>
    <sheet name="8_Study_index" sheetId="9" r:id="rId9"/>
    <sheet name="Codebook" sheetId="10" r:id="rId10"/>
    <sheet name="Lis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" i="9" l="1"/>
  <c r="O8" i="9"/>
  <c r="O7" i="9"/>
  <c r="O6" i="9"/>
  <c r="O5" i="9"/>
  <c r="O4" i="9"/>
  <c r="O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protocol</author>
  </authors>
  <commentList>
    <comment ref="C3" authorId="0" shapeId="0" xr:uid="{00000000-0006-0000-0600-000001000000}">
      <text>
        <r>
          <rPr>
            <sz val="10"/>
            <rFont val="Arial"/>
            <family val="2"/>
          </rPr>
          <t>ROBINS-I D1 Confounding (pre-specify: HIV status, baseline severity, corticosteroids, time to treatment). For RCTs (RoB 2) read C=Randomisation.</t>
        </r>
      </text>
    </comment>
    <comment ref="D3" authorId="0" shapeId="0" xr:uid="{00000000-0006-0000-0600-000002000000}">
      <text>
        <r>
          <rPr>
            <sz val="10"/>
            <rFont val="Arial"/>
            <family val="2"/>
          </rPr>
          <t>ROBINS-I D2 Selection of participants. RoB 2: n/a.</t>
        </r>
      </text>
    </comment>
    <comment ref="E3" authorId="0" shapeId="0" xr:uid="{00000000-0006-0000-0600-000003000000}">
      <text>
        <r>
          <rPr>
            <sz val="10"/>
            <rFont val="Arial"/>
            <family val="2"/>
          </rPr>
          <t>ROBINS-I D3 Classification of interventions.</t>
        </r>
      </text>
    </comment>
    <comment ref="F3" authorId="0" shapeId="0" xr:uid="{00000000-0006-0000-0600-000004000000}">
      <text>
        <r>
          <rPr>
            <sz val="10"/>
            <rFont val="Arial"/>
            <family val="2"/>
          </rPr>
          <t>ROBINS-I D4 Deviations. RoB 2: Deviations from intended interventions.</t>
        </r>
      </text>
    </comment>
    <comment ref="G3" authorId="0" shapeId="0" xr:uid="{00000000-0006-0000-0600-000005000000}">
      <text>
        <r>
          <rPr>
            <sz val="10"/>
            <rFont val="Arial"/>
            <family val="2"/>
          </rPr>
          <t>ROBINS-I D5 Missing data. RoB 2: Missing outcome data.</t>
        </r>
      </text>
    </comment>
    <comment ref="H3" authorId="0" shapeId="0" xr:uid="{00000000-0006-0000-0600-000006000000}">
      <text>
        <r>
          <rPr>
            <sz val="10"/>
            <rFont val="Arial"/>
            <family val="2"/>
          </rPr>
          <t>ROBINS-I D6 Measurement of outcome. RoB 2: Measurement of the outcome.</t>
        </r>
      </text>
    </comment>
    <comment ref="I3" authorId="0" shapeId="0" xr:uid="{00000000-0006-0000-0600-000007000000}">
      <text>
        <r>
          <rPr>
            <sz val="10"/>
            <rFont val="Arial"/>
            <family val="2"/>
          </rPr>
          <t>ROBINS-I D7 Selection of reported result. RoB 2: Selection of the reported result.</t>
        </r>
      </text>
    </comment>
  </commentList>
</comments>
</file>

<file path=xl/sharedStrings.xml><?xml version="1.0" encoding="utf-8"?>
<sst xmlns="http://schemas.openxmlformats.org/spreadsheetml/2006/main" count="10285" uniqueCount="3333">
  <si>
    <t>PCP Combination Therapy - Bayesian Meta-analysis</t>
  </si>
  <si>
    <t>Full-text data-extraction database  |  v0.1 (PROVISIONAL scope)  |  6 Aug 2026</t>
  </si>
  <si>
    <t>Purpose</t>
  </si>
  <si>
    <t>One structured database for independent, duplicate full-text extraction of studies of combination / adjunctive therapy for Pneumocystis jirovecii pneumonia (PCP), feeding a Bayesian meta-analysis. NOTE: built before the PROSPERO record / protocol were available this session - scope fields marked PROVISIONAL in STATUS.md must be reconciled with the protocol before extraction begins.</t>
  </si>
  <si>
    <t>Dual-extraction workflow</t>
  </si>
  <si>
    <t>Two reviewers extract every study independently (..._ReviewerA.xlsx / ..._ReviewerB.xlsx). After a calibration set (~5-10 studies), reconcile into ..._Consensus.xlsx; R.E.L. adjudicates conflicts. Track progress with the 'Reviewer' and 'Extraction status' columns on 8_Study_index.</t>
  </si>
  <si>
    <t>Sheet guide</t>
  </si>
  <si>
    <t>1_Study_characteristics - one row per study.  2_Arms_covariates - one row per treatment arm (dose, per-arm covariates incl. corticosteroids &amp; baseline BDG).  3_Outcomes - one row per arm x outcome (events r / N + verbatim quote + page).  4_Beta_D_glucan - BDG levels, kinetics &amp; relation to outcome.  5_Corticosteroids - detail of concomitant steroid use.  6_Risk_of_bias - ROBINS-I / RoB 2.  7_Author_contact - missing-data campaign.  8_Study_index - master list + status dashboard.  Codebook - every field + controlled vocabularies.  Lists - drop-down source (do not edit).</t>
  </si>
  <si>
    <t>Legend</t>
  </si>
  <si>
    <t>YELLOW = a value to fill in / provisional - confirm against the PDF, add the verbatim quote + page.  GREY italic row = worked EXAMPLE (do not edit / do not analyse).  Blank white = to fill.  Drop-downs enforce controlled vocabulary (see Codebook).</t>
  </si>
  <si>
    <t>Nodes (network)</t>
  </si>
  <si>
    <t>PROVISIONAL default node list: TMP-SMX (reference); TMP-SMX + echinocandin; clindamycin-primaquine; atovaquone; IV pentamidine; dapsone+/-TMP; plus pooled 'Combination (other)' / 'Monotherapy (pooled)' for sensitivity analyses. Confirm exact nodes vs protocol.</t>
  </si>
  <si>
    <t>Primary outcome</t>
  </si>
  <si>
    <t>PROVISIONAL: all-cause mortality (in-hospital / 30-day / 90-day). Secondary: treatment failure, respiratory failure / mechanical ventilation, ICU admission, change of therapy, BDG response, toxicity/discontinuation. Confirm vs protocol.</t>
  </si>
  <si>
    <t>Effect modifiers</t>
  </si>
  <si>
    <t>HIV status; adjunctive corticosteroid use; baseline severity (PaO2 / A-a gradient / respiratory support); baseline beta-D-glucan; time to treatment. Recorded per study/arm for meta-regression.</t>
  </si>
  <si>
    <t>Beta-D-glucan</t>
  </si>
  <si>
    <t>Sheet 4 captures 1,3-beta-D-glucan: baseline (mean/median), peak, follow-up/kinetics, assay, cut-off, units, and any reported relationship to outcome. Per-arm baseline BDG is also on Sheet 2 as a covariate.</t>
  </si>
  <si>
    <t>Corticosteroids</t>
  </si>
  <si>
    <t>Sheet 5 captures adjunctive corticosteroid use in detail (proportion, agent, dose, duration, indication, timing). Per-arm % on steroids is also on Sheet 2 as an effect modifier.</t>
  </si>
  <si>
    <t>Provenance &amp; quotes</t>
  </si>
  <si>
    <t>Every event count needs a verbatim quote and a page/table reference on 3_Outcomes. Document assumptions in the row Note.</t>
  </si>
  <si>
    <t>Source docs (to attach)</t>
  </si>
  <si>
    <t>PROSPERO record; review protocol; screening/eligibility decisions; included-study PDFs. See STATUS.md.</t>
  </si>
  <si>
    <t>1  Study characteristics</t>
  </si>
  <si>
    <t>Study_ID</t>
  </si>
  <si>
    <t>First_author</t>
  </si>
  <si>
    <t>Pub_year</t>
  </si>
  <si>
    <t>PDF filename / source</t>
  </si>
  <si>
    <t>DOI/PMID</t>
  </si>
  <si>
    <t>Country / region</t>
  </si>
  <si>
    <t>Design</t>
  </si>
  <si>
    <t>Centres</t>
  </si>
  <si>
    <t>Recruit start (yr)</t>
  </si>
  <si>
    <t>Recruit end (yr)</t>
  </si>
  <si>
    <t>Setting</t>
  </si>
  <si>
    <t>HIV status</t>
  </si>
  <si>
    <t>Underlying immunosuppression</t>
  </si>
  <si>
    <t>PCP diagnostic certainty</t>
  </si>
  <si>
    <t>Diagnostic method (verbatim)</t>
  </si>
  <si>
    <t>Age eligibility</t>
  </si>
  <si>
    <t>N total analysed</t>
  </si>
  <si>
    <t>Comparison structure</t>
  </si>
  <si>
    <t>Nodes present</t>
  </si>
  <si>
    <t>Adjunctive corticosteroids used?</t>
  </si>
  <si>
    <t>Baseline severity measure</t>
  </si>
  <si>
    <t>Baseline severity (verbatim)</t>
  </si>
  <si>
    <t>beta-D-glucan reported?</t>
  </si>
  <si>
    <t>Eligibility status</t>
  </si>
  <si>
    <t>Eligibility reason / note</t>
  </si>
  <si>
    <t>Primary outcome available?</t>
  </si>
  <si>
    <t>Author contact needed?</t>
  </si>
  <si>
    <t>Reviewer</t>
  </si>
  <si>
    <t>Extraction date</t>
  </si>
  <si>
    <t>Notes</t>
  </si>
  <si>
    <t>Smith2019</t>
  </si>
  <si>
    <t>Smith</t>
  </si>
  <si>
    <t>2019</t>
  </si>
  <si>
    <t>Smith2019_JAC.pdf</t>
  </si>
  <si>
    <t>10.1093/jac/xxxxx</t>
  </si>
  <si>
    <t>France</t>
  </si>
  <si>
    <t>Retrospective cohort</t>
  </si>
  <si>
    <t>Multicentre</t>
  </si>
  <si>
    <t>2012</t>
  </si>
  <si>
    <t>2017</t>
  </si>
  <si>
    <t>ICU</t>
  </si>
  <si>
    <t>Non-HIV immunocompromised</t>
  </si>
  <si>
    <t>Solid-organ transplant</t>
  </si>
  <si>
    <t>Proven (microscopy/PCR/BAL)</t>
  </si>
  <si>
    <t>BAL microscopy + PCR (p.3)</t>
  </si>
  <si>
    <t>Adults &gt;=18</t>
  </si>
  <si>
    <t>118</t>
  </si>
  <si>
    <t>TMP-SMX vs TMP-SMX+caspofungin</t>
  </si>
  <si>
    <t>TMP-SMX (reference); TMP-SMX + caspofungin</t>
  </si>
  <si>
    <t>Yes - subset</t>
  </si>
  <si>
    <t>PaO2/FiO2</t>
  </si>
  <si>
    <t>Median PaO2/FiO2 148 (p.4, Table 1)</t>
  </si>
  <si>
    <t>Yes</t>
  </si>
  <si>
    <t>Include - network</t>
  </si>
  <si>
    <t>Two-arm comparison, non-HIV</t>
  </si>
  <si>
    <t>No</t>
  </si>
  <si>
    <t>Reviewer A</t>
  </si>
  <si>
    <t>2026-08-06</t>
  </si>
  <si>
    <t>Example row - do not analyse</t>
  </si>
  <si>
    <t>Assal2021</t>
  </si>
  <si>
    <t>Assal</t>
  </si>
  <si>
    <t>2021</t>
  </si>
  <si>
    <t>Assal2021 (Review_PDFs)</t>
  </si>
  <si>
    <t>10.1371/journal.pone.0250611</t>
  </si>
  <si>
    <t>Single-centre</t>
  </si>
  <si>
    <t>2010-01-01</t>
  </si>
  <si>
    <t>2017-03-31</t>
  </si>
  <si>
    <t>Mixed ward+ICU</t>
  </si>
  <si>
    <t>onco-haematology (haematological malignancy 79.6%, solid tumour 20.3%, allogeneic HSCT 12.8%)</t>
  </si>
  <si>
    <t>Probable</t>
  </si>
  <si>
    <t>PCR on BAL (8.2%), induced sputum (85%) or nasopharyngeal aspiration (6.8%); PJP-score used to confirm (Methods/Results)</t>
  </si>
  <si>
    <t>Adults</t>
  </si>
  <si>
    <t>133</t>
  </si>
  <si>
    <t>Early adjunctive corticosteroid therapy (EACST, within 48h; n=58) vs no or late corticosteroid therapy (n=75); anti-PCP therapy TMP-SMX in 94% of both</t>
  </si>
  <si>
    <t>TMP-SMX (reference)</t>
  </si>
  <si>
    <t>SOFA / SOFA-resp</t>
  </si>
  <si>
    <t>43.6% ICU admission; SOFA day 1 median 2 [1-4]; acute respiratory failure defined SpO2&lt;90% or PaO2&lt;60 mmHg (Methods/Table 1)</t>
  </si>
  <si>
    <t>Background / context only</t>
  </si>
  <si>
    <t>Corticosteroid adjunctive comparison; both arms same antifungal (TMP-SMX), no antifungal-regimen node contrast; per-arm mortality counts not reported</t>
  </si>
  <si>
    <t>Partial</t>
  </si>
  <si>
    <t>Claude (machine draft)</t>
  </si>
  <si>
    <t>Overall 30-day mortality 32/133 (24.1%) and 1-year 75/133 (56.4%); per-arm mortality counts not given, only naive and IPW hazard ratios. Anti-PCP: 125 (94%) SMT/TMP-SMX, 5 (3.7%) atovaquone, 3 (2.3%) pentamidine.</t>
  </si>
  <si>
    <t>Barraud2025</t>
  </si>
  <si>
    <t>Barraud</t>
  </si>
  <si>
    <t>2025</t>
  </si>
  <si>
    <t>Barraud2025 (Review_PDFs)</t>
  </si>
  <si>
    <t>10.1186/s41479-025-00187-7</t>
  </si>
  <si>
    <t>Multicentre (12 French university hospitals)</t>
  </si>
  <si>
    <t>2010-01</t>
  </si>
  <si>
    <t>2021-12</t>
  </si>
  <si>
    <t>haematological malignancy 35.8%, solid tumour 34.5%, systemic rheumatic disease 26.8%, SOT 7.4%; aged &gt;=75 years</t>
  </si>
  <si>
    <t>Mixed</t>
  </si>
  <si>
    <t>PCR (BAL 66.4% or sputum 32.3%) or microscopy; staining/immunofluorescence in 34.5% (Methods/Table 1)</t>
  </si>
  <si>
    <t>Older adults (&gt;=75 years)</t>
  </si>
  <si>
    <t>162</t>
  </si>
  <si>
    <t>Whole-cohort prognostic study; predominantly cotrimoxazole; mortality-factor analysis of corticosteroid initiation (newly initiated vs not) - not an antifungal-regimen comparison</t>
  </si>
  <si>
    <t>SOFA / oxygen saturation</t>
  </si>
  <si>
    <t>median SOFA 2 [1-3.75]; median SaO2 94% [90-96]; 85.5% required oxygen; 32.1% ICU transfer (Table 1/2)</t>
  </si>
  <si>
    <t>Prognostic-factor cohort study; single predominant antifungal (cotrimoxazole 92.6%); corticosteroid-initiation contrast, no antifungal-regimen node comparison</t>
  </si>
  <si>
    <t>Cotrimoxazole first-line 150/162 (92.6%), atovaquone 12 (7.4%). Corticosteroids 108 (66.6%): 60 newly initiated, 48 continued pre-existing. Corticosteroid newly initiated independently associated with in-hospital mortality (HR 1.89 [1.03-3.44], p=0.039).</t>
  </si>
  <si>
    <t>Bilbao2025</t>
  </si>
  <si>
    <t>Bilbao</t>
  </si>
  <si>
    <t>Bilbao2025 (Review_PDFs)</t>
  </si>
  <si>
    <t>10.1093/jac/dkae379</t>
  </si>
  <si>
    <t>Spain</t>
  </si>
  <si>
    <t>Case series</t>
  </si>
  <si>
    <t>2017-01</t>
  </si>
  <si>
    <t>2024-03</t>
  </si>
  <si>
    <t>SOT (6), solid malignancy (3), HSCT (2), chronic lung disease (2), haematological malignancy (1), autoimmune (1)</t>
  </si>
  <si>
    <t>molecular (PCR) on BAL in 12, sputum culture in 2; EORTC 2020 criteria (Results)</t>
  </si>
  <si>
    <t>Mixed (includes one 7-year-old)</t>
  </si>
  <si>
    <t>14</t>
  </si>
  <si>
    <t>Single-arm case series, no comparator: co-trimoxazole-free echinocandin + clindamycin (first-line in 11-12, second-line after co-trimoxazole in 3)</t>
  </si>
  <si>
    <t>Combination (other, specify): echinocandin + clindamycin</t>
  </si>
  <si>
    <t>Yes - all/most</t>
  </si>
  <si>
    <t>oxygen therapy / LDH</t>
  </si>
  <si>
    <t>range from no oxygen to invasive mechanical ventilation; LDH increased in all, median 381.5 U/L (Results/Table 1)</t>
  </si>
  <si>
    <t>Single-arm descriptive case series with no comparator arm; whole cohort recorded as one arm</t>
  </si>
  <si>
    <t>Echinocandin = caspofungin (70 mg load then 50 mg/d IV) in most; one received anidulafungin (200 mg load then 100 mg/d). All IV clindamycin 600 mg q8h. Combination first-line in 11 due to co-trimoxazole contraindications; 3 initially co-trimoxazole then switched. Text elsewhere states largest cohort 'encompassing 15 patients' but study enrolled 14.</t>
  </si>
  <si>
    <t>Canet2024</t>
  </si>
  <si>
    <t>Lecuyer</t>
  </si>
  <si>
    <t>2024</t>
  </si>
  <si>
    <t>Canet2024 (Review_PDFs)</t>
  </si>
  <si>
    <t>10.1016/j.chest.2024.01.015</t>
  </si>
  <si>
    <t>Multicentre (3 French hospitals, PRONOCYSTIS substudy)</t>
  </si>
  <si>
    <t>2011-01</t>
  </si>
  <si>
    <t>haematologic malignancy 24.5%, HIV 23.7%, SOT 21.4%, IMID 18.1%, solid tumour 11.6%</t>
  </si>
  <si>
    <t>EORTC/MSG proven (cysts on microscopy, 37.4%) or probable (positive qPCR, 62.6%) on sputum/BAL (Methods)</t>
  </si>
  <si>
    <t>Adults (&gt;=18)</t>
  </si>
  <si>
    <t>481</t>
  </si>
  <si>
    <t>Whole-cohort prognostic study by underlying disease; predominantly TMP-SMX; not an antifungal-regimen comparison. Prognostic factors for 90-day mortality (solid tumour, IMID, long-term corticosteroids, SOFA)</t>
  </si>
  <si>
    <t>SOFA / SAPS II</t>
  </si>
  <si>
    <t>mean SOFA 3.3 (3.0); ICU admission 49.3%; mechanical ventilation 22.7% (Table 1)</t>
  </si>
  <si>
    <t>Prognostic study by underlying disease; single predominant antifungal (TMP-SMX 92.1%), no antifungal-regimen node comparison; mixed HIV status</t>
  </si>
  <si>
    <t>Anti-PcP first line: TMP-SMX 443 (92.1%), atovaquone 95 (19.8%, often adjunct/second), IV pentamidine 12 (2.5%). Adjunctive corticotherapy 226 (47.0%). Long-term (prior) corticosteroid exposure independent predictor of 90-day mortality (OR 2.07 [1.03-4.31]).</t>
  </si>
  <si>
    <t>Delbove2020</t>
  </si>
  <si>
    <t>Delbove</t>
  </si>
  <si>
    <t>2020</t>
  </si>
  <si>
    <t>Delbove2020 (Review_PDFs)</t>
  </si>
  <si>
    <t>10.1016/j.rmed.2020.106019</t>
  </si>
  <si>
    <t>Multicentre (9 French lung transplant centres)</t>
  </si>
  <si>
    <t>2017-10-30</t>
  </si>
  <si>
    <t>lung transplant recipients (all on steroids; emphysema 34%, IPF 30%, cystic fibrosis 9%)</t>
  </si>
  <si>
    <t>BAL positivity in 91% (direct exam 47%, PCR 62%); some distal bronchial biopsy/sputum/tracheal aspirate (Results)</t>
  </si>
  <si>
    <t>47</t>
  </si>
  <si>
    <t>Whole-cohort prognostic study of PCP in lung transplant recipients; predominantly TMP-SMX; risk-factor analysis for day-90 mortality (not an antifungal-regimen comparison)</t>
  </si>
  <si>
    <t>organ failure / ICU</t>
  </si>
  <si>
    <t>55% ICU for organ failure; NIV 21%, MV 23% (Results/Table 2)</t>
  </si>
  <si>
    <t>Single-arm prognostic cohort in LT recipients; predominant TMP-SMX; no antifungal-regimen comparison; steroid-strategy contrast not significant</t>
  </si>
  <si>
    <t>47 PCP episodes in 45 patients. First-line TMP-SMX 35/47 (78%), atovaquone 9-10 (20-22%), 1 additional pentamidine nebulization. All patients on steroids at PCP; steroids increased in 57%. Second-line PCP treatment in 11 (24%) due to drug intolerance (9 TMP-SMX related). Mortality not associated with prophylaxis, steroid modification, or number of immunosuppressants.</t>
  </si>
  <si>
    <t>Deng2026</t>
  </si>
  <si>
    <t>Deng</t>
  </si>
  <si>
    <t>2026</t>
  </si>
  <si>
    <t>Deng2026 (Review_PDFs)</t>
  </si>
  <si>
    <t>10.1186/s12879-026-12952-0</t>
  </si>
  <si>
    <t>China</t>
  </si>
  <si>
    <t>2022-01</t>
  </si>
  <si>
    <t>2024-12</t>
  </si>
  <si>
    <t>chronic kidney disease 45.5%, diabetes 31.8%, malignancy 31.8%, hypertension 43.9%, arthritis 9.1%</t>
  </si>
  <si>
    <t>next-generation sequencing of BAL fluid + CT + clinical symptoms (Methods)</t>
  </si>
  <si>
    <t>66</t>
  </si>
  <si>
    <t>Therapeutic drug monitoring study: high SMX Cmax &gt;100 ug/mL (n=37) vs low Cmax &lt;=100 ug/mL (n=29); all on low-dose TMP-SMX, concomitant caspofungin in 27.3% - concentration comparison, not a regimen comparison</t>
  </si>
  <si>
    <t>NR</t>
  </si>
  <si>
    <t>PaO2 / PCT</t>
  </si>
  <si>
    <t>median initial PaO2 85.5 mmHg [64.8-122.4]; severe PJP context (Table 1)</t>
  </si>
  <si>
    <t>TMP-SMX serum-concentration (TDM) prognostic study, not an antifungal-regimen comparison; arms defined by drug level not regimen</t>
  </si>
  <si>
    <t>Group sizes inconsistent in paper: abstract 37 high (56.66%); Results text 38 high (57.58%)/28 low; Table 1 header Low n=29 / High n=37. Used Table 1 counts (37/29). Concomitant caspofungin: 18/66 (27.3%) overall (low 4, high 14). SMX median daily dose 49.2 mg/kg (below guideline 75-100 mg/kg).</t>
  </si>
  <si>
    <t>Gu2022</t>
  </si>
  <si>
    <t>Gu</t>
  </si>
  <si>
    <t>2022</t>
  </si>
  <si>
    <t>Gu2022 (Review_PDFs)</t>
  </si>
  <si>
    <t>10.3389/fmed.2022.827850</t>
  </si>
  <si>
    <t>Quasi-experimental (before-after)</t>
  </si>
  <si>
    <t>2017-09-01</t>
  </si>
  <si>
    <t>2020-02-06</t>
  </si>
  <si>
    <t>renal transplant recipients (severe PCP)</t>
  </si>
  <si>
    <t>Next-generation sequencing of blood and/or BAL fluid + clinical criteria (Methods)</t>
  </si>
  <si>
    <t>Adults (&gt;18)</t>
  </si>
  <si>
    <t>20</t>
  </si>
  <si>
    <t>T group: standard-dose TMP-SMX alone (n=10) vs CT group: clindamycin + low-dose TMP-SMX (n=10); historical control</t>
  </si>
  <si>
    <t>TMP-SMX (reference); Combination (other, specify): clindamycin + low-dose TMP-SMX</t>
  </si>
  <si>
    <t>PaO2/FiO2 / APACHE II / SOFA</t>
  </si>
  <si>
    <t>all ICU with P/F &lt;250 mmHg; baseline P/F T 146.0 vs CT 148.5; APACHE II 14.0 vs 17.5 (Table 1)</t>
  </si>
  <si>
    <t>Include - pairwise only</t>
  </si>
  <si>
    <t>Two-arm comparison of clindamycin + low-dose TMP-SMX vs standard-dose TMP-SMX with per-arm event counts</t>
  </si>
  <si>
    <t>Historical control: T group (stage 1, Sep2017-Dec2018) standard 15 mg/kg/d TMP; CT group (stage 2, Jan2019-Feb2020) clindamycin 600-900 mg IV q6-8h + low initial 8 mg/kg/d TMP. All patients received methylprednisolone 2.0-2.5 mg/kg/day. NCT04328688. Note pneumomediastinum P value differs (0.008 in table/abstract vs 0.033 in discussion).</t>
  </si>
  <si>
    <t>Hamada2020</t>
  </si>
  <si>
    <t>Hamada</t>
  </si>
  <si>
    <t>Hamada2020 (Review_PDFs)</t>
  </si>
  <si>
    <t>10.1183/23120541.00306-2019</t>
  </si>
  <si>
    <t>Japan</t>
  </si>
  <si>
    <t>Multicentre (3 hospitals)</t>
  </si>
  <si>
    <t>2008-12</t>
  </si>
  <si>
    <t>2018-12</t>
  </si>
  <si>
    <t>CTD 32.4%, solid tumour 27.0%, IIPs 12.2%, haematologic malignancy 10.8%; 93.2% prior corticosteroids</t>
  </si>
  <si>
    <t>PCR or GMS stain on BALF/sputum; BDG &gt;11 pg/mL required for inclusion (Methods)</t>
  </si>
  <si>
    <t>Adults (older; median 73.5 y)</t>
  </si>
  <si>
    <t>74</t>
  </si>
  <si>
    <t>Prognostic study by pre-existing interstitial lung disease: ILD group (n=32) vs non-ILD group (n=42); both TMP/SMX + adjunct corticosteroids - ILD status contrast, not an antifungal-regimen comparison</t>
  </si>
  <si>
    <t>median P/F ILD 175.0 vs non-ILD 251.5 (p=0.025) (Table 1)</t>
  </si>
  <si>
    <t>Prognostic study by ILD status; both groups TMP/SMX + steroids, no antifungal-regimen node comparison</t>
  </si>
  <si>
    <t>Most patients treated with TMP/SMX and adjunct corticosteroids. High-dose corticosteroid pulse therapy: ILD 15/32 (46.9%) vs non-ILD 9.5% (p&lt;0.001). BDG required &gt;11 pg/mL for inclusion (WAKO assay); 12 HIV+ and 3 without elevated BDG excluded. Overall 90-day mortality 28/74 (37.8%).</t>
  </si>
  <si>
    <t>HosseiniMoghaddam2024</t>
  </si>
  <si>
    <t>Hosseini-Moghaddam</t>
  </si>
  <si>
    <t>HosseiniMoghaddam2024 (Review_PDFs)</t>
  </si>
  <si>
    <t>10.1016/j.ajt.2023.11.003</t>
  </si>
  <si>
    <t>Canada/USA/Europe/Australia (multinational)</t>
  </si>
  <si>
    <t>Multicentre (20-21 transplant centres)</t>
  </si>
  <si>
    <t>2015-01-01</t>
  </si>
  <si>
    <t>2020-12-31</t>
  </si>
  <si>
    <t>Solid organ transplant recipients (kidney 50.5%, liver 22%, heart 11.6%, kidney-pancreas 7.5%, lung 4.6%)</t>
  </si>
  <si>
    <t>Microscopy/staining (47.4%) and/or PCR (62.4%) on BAL/induced sputum/tissue (Methods)</t>
  </si>
  <si>
    <t>Adults (&gt;=18 y)</t>
  </si>
  <si>
    <t>172</t>
  </si>
  <si>
    <t>Adjunctive glucocorticoid therapy (AGT) vs no AGT; both arms predominantly TMP-SMX</t>
  </si>
  <si>
    <t>SOFAResp (PaO2/FiO2)</t>
  </si>
  <si>
    <t>ICU admission 43.4%, mechanical ventilation 31.8% (Results/Table 3)</t>
  </si>
  <si>
    <t>Comparison is adjunctive glucocorticoid vs none (not between eligible antifungal regimens); antifungal node identical across arms. Per-arm ICU/death counts available; useful for corticosteroid context.</t>
  </si>
  <si>
    <t>AGT within 72h subanalysis also reported. Propensity-adjusted analyses showed no association of AGT with ICU/death/composite.</t>
  </si>
  <si>
    <t>Hu2025</t>
  </si>
  <si>
    <t>Hu</t>
  </si>
  <si>
    <t>Hu2025 (Review_PDFs)</t>
  </si>
  <si>
    <t>10.1002/ccr3.70819</t>
  </si>
  <si>
    <t>Renal (kidney) transplant recipient, 6 months post-transplant</t>
  </si>
  <si>
    <t>Positive PJP DNA (nucleic acid) test; BAL second-generation sequencing (Case)</t>
  </si>
  <si>
    <t>Adult (48-year-old)</t>
  </si>
  <si>
    <t>1</t>
  </si>
  <si>
    <t>Single case: caspofungin + TMP/SMX + methylprednisolone (prolonged 48-day therapy); no comparator</t>
  </si>
  <si>
    <t>TMP-SMX + caspofungin</t>
  </si>
  <si>
    <t>PaO2 / oxygenation</t>
  </si>
  <si>
    <t>Severe refractory PJP; PaO2 55 mmHg, SpO2 89% room air, invasive mechanical ventilation (Case)</t>
  </si>
  <si>
    <t>Single-patient case report, no comparator arm</t>
  </si>
  <si>
    <t>Table 2 (treatment progression) is a guideline summary, not study data. Discussion cites external comparative studies (Qi 2023 n=93; Li 2024 n=38).</t>
  </si>
  <si>
    <t>Huang2026</t>
  </si>
  <si>
    <t>Huang</t>
  </si>
  <si>
    <t>Huang2026 (Review_PDFs)</t>
  </si>
  <si>
    <t>10.1016/j.jtct.2026.03.033</t>
  </si>
  <si>
    <t>Single-centre (Peking University Institute of Hematology)</t>
  </si>
  <si>
    <t>Allogeneic HSCT for haematological malignancy (AML 48.6%, ALL 30.6%, MDS 11.1%)</t>
  </si>
  <si>
    <t>Staining/immunofluorescence (proven, 17) or qPCR on BAL (probable, 55); Ct&lt;=32 = PJP (Methods)</t>
  </si>
  <si>
    <t>72</t>
  </si>
  <si>
    <t>Single-arm PJP cohort (whole cohort); nested case-control for risk factors; no antifungal treatment comparison</t>
  </si>
  <si>
    <t>Respiratory failure / oxygen support</t>
  </si>
  <si>
    <t>Respiratory failure in 37/72 (51.4%); invasive MV 14/72 (Results)</t>
  </si>
  <si>
    <t>Descriptive/prognostic single-arm cohort; no comparison of eligible treatment regimens. Corticosteroids not routinely part of PJP treatment protocol.</t>
  </si>
  <si>
    <t>TMP-SMX treatment of choice; primaquine+clindamycin preferred alternative for intolerance/failure. Prognostic factors for OS: cGVHD, EBV, HGB&lt;100, respiratory failure.</t>
  </si>
  <si>
    <t>Jin2019</t>
  </si>
  <si>
    <t>Jin</t>
  </si>
  <si>
    <t>Jin2019 (Review_PDFs)</t>
  </si>
  <si>
    <t>10.1016/j.ijid.2019.08.015</t>
  </si>
  <si>
    <t>Single-centre (Peking Union Medical College Hospital)</t>
  </si>
  <si>
    <t>2012-01</t>
  </si>
  <si>
    <t>2018-06</t>
  </si>
  <si>
    <t>Autoimmune (47%), solid tumor (10%), membranous nephropathy (13%), haematological (4%)</t>
  </si>
  <si>
    <t>Real-time fluorescence quantitative PCR and/or GMS staining of respiratory samples (Methods)</t>
  </si>
  <si>
    <t>Adults (&gt;18 y)</t>
  </si>
  <si>
    <t>126</t>
  </si>
  <si>
    <t>Caspofungin + TMP/SMX combination vs TMP/SMX monotherapy, stratified by baseline BDG (&gt;=800 vs &lt;800 pg/mL)</t>
  </si>
  <si>
    <t>PaO2/FiO2 and D(A-a)O2</t>
  </si>
  <si>
    <t>Moderate-to-severe PJP; median PaO2/FiO2 52 mmHg; ICU 54%, invasive MV 45% (Results)</t>
  </si>
  <si>
    <t>Two-arm comparison of eligible regimens (TMP-SMX + caspofungin vs TMP-SMX) with per-arm event counts; non-HIV; BDG-stratified.</t>
  </si>
  <si>
    <t>Key BDG-predictor study. Combination benefit (mortality, response) seen only in BDG&gt;=800 subgroup. Combination arm had higher baseline BDG (834 vs 527) and likely more severe patients (confounding by indication).</t>
  </si>
  <si>
    <t>Kao2025</t>
  </si>
  <si>
    <t>Kao</t>
  </si>
  <si>
    <t>Kao2025 (Review_PDFs)</t>
  </si>
  <si>
    <t>10.1038/s41598-025-27907-9</t>
  </si>
  <si>
    <t>Taiwan</t>
  </si>
  <si>
    <t>Multicentre (National Taiwan University Hospital + 3 branches)</t>
  </si>
  <si>
    <t>2016-11-10</t>
  </si>
  <si>
    <t>2023-12-20</t>
  </si>
  <si>
    <t>Malignancy (62.0%), autoimmune disease (20.1%), PBSCT (6.6%)</t>
  </si>
  <si>
    <t>EORTC/MSGERC probable; qPCR (Becton Dickinson MAX) on sputum/ETA/BAL (Methods)</t>
  </si>
  <si>
    <t>334</t>
  </si>
  <si>
    <t>Adjunctive corticosteroids vs no adjunctive corticosteroids; all on TMP-SMX (anidulafungin-primary excluded)</t>
  </si>
  <si>
    <t>PaO2/FiO2, shock</t>
  </si>
  <si>
    <t>Steroid users: shock 43.0%, PaO2/FiO2 183.3; non-steroid: shock 25.3%, PaO2/FiO2 290.3 (Table 1)</t>
  </si>
  <si>
    <t>Comparison is adjunctive corticosteroid vs none (antifungal node identical, TMP-SMX both arms); not a comparison of eligible antifungal regimens. Per-arm 60-day mortality available; corticosteroid context.</t>
  </si>
  <si>
    <t>Crude higher mortality with steroids driven by confounding by indication; after PSM (128/arm) no difference (P=0.13). In no-shock subgroup, steroids associated with higher mortality (OR 2.72, 1.11-6.66).</t>
  </si>
  <si>
    <t>Kato2019</t>
  </si>
  <si>
    <t>Kato</t>
  </si>
  <si>
    <t>Kato2019 (Review_PDFs)</t>
  </si>
  <si>
    <t>10.1016/j.jiac.2019.06.007</t>
  </si>
  <si>
    <t>Single-centre (Yokohama City University)</t>
  </si>
  <si>
    <t>2008-11</t>
  </si>
  <si>
    <t>2018-03</t>
  </si>
  <si>
    <t>Non-HIV: inflammatory disease (23), haematological malignancy (12), solid cancer (9); plus 31 HIV/AIDS</t>
  </si>
  <si>
    <t>Clinical suspicion + Grocott stain or PCR on bronchofibrescopy, or positive serum beta-D-glucan (Methods)</t>
  </si>
  <si>
    <t>75</t>
  </si>
  <si>
    <t>HIV-PCP (n=31) vs non-HIV-PCP (n=44); focus on diagnosis/TMP-SMX adverse effects; not an antifungal regimen comparison</t>
  </si>
  <si>
    <t>Deoxygenation (SpO2&lt;90% or pO2&lt;60)</t>
  </si>
  <si>
    <t>Deoxygenation 33/75 (44%); ICU admission 8/75 (10.7%) (Table 1)</t>
  </si>
  <si>
    <t>Descriptive comparison by HIV status of diagnosis and TMP-SMX toxicity; no comparison of eligible treatment regimens; no per-arm mortality counts (Kaplan-Meier only).</t>
  </si>
  <si>
    <t>Arms represent non-HIV vs HIV subgroups. Countable outcomes are TMP-SMX discontinuation and hypersensitivity by group. Overall survival lower in non-HIV (P=0.022) but no per-arm death counts reported.</t>
  </si>
  <si>
    <t>Ko2019</t>
  </si>
  <si>
    <t>Ko</t>
  </si>
  <si>
    <t>Ko2019 (Review_PDFs)</t>
  </si>
  <si>
    <t>10.1186/s12931-019-1188-6</t>
  </si>
  <si>
    <t>South Korea</t>
  </si>
  <si>
    <t>Single-centre (Samsung Medical Center)</t>
  </si>
  <si>
    <t>2005-10</t>
  </si>
  <si>
    <t>2018-07</t>
  </si>
  <si>
    <t>Malignancy (54.9%; haematologic 21, solid 7), solid organ transplant (35.3%)</t>
  </si>
  <si>
    <t>Morphological identification of P. jirovecii in BAL fluid or lung biopsy (Methods)</t>
  </si>
  <si>
    <t>Adults (&gt;20 y)</t>
  </si>
  <si>
    <t>51</t>
  </si>
  <si>
    <t>Time-to-treatment analysis (early empiric n=31 vs definitive n=20); all TMP-SMX + adjunctive steroids; single antifungal regimen</t>
  </si>
  <si>
    <t>PaO2/FiO2, SAPS3, SOFA</t>
  </si>
  <si>
    <t>All in hypoxemic respiratory failure; MV 84.3%, HFNC 15.7%; median PF 137.2 (Results)</t>
  </si>
  <si>
    <t>Single antifungal regimen (all TMP-SMX); comparison is timing of treatment, not eligible regimen comparison. Whole-cohort outcomes usable as context/single-arm.</t>
  </si>
  <si>
    <t>20/50 failed initial TMP-SMX and switched to salvage clindamycin-primaquine (14) or pentamidine (6). Failure of initial treatment strongly associated with mortality (aOR 13.03).</t>
  </si>
  <si>
    <t>Koga2021</t>
  </si>
  <si>
    <t>Koga</t>
  </si>
  <si>
    <t>Koga2021 (Review_PDFs)</t>
  </si>
  <si>
    <t>10.1016/j.jiac.2021.03.001</t>
  </si>
  <si>
    <t>Multicentre (Research Group on Chemotherapy of Tropical Diseases, up to 30 hospitals)</t>
  </si>
  <si>
    <t>2006</t>
  </si>
  <si>
    <t>2015</t>
  </si>
  <si>
    <t>Other</t>
  </si>
  <si>
    <t>HIV/AIDS (10), autoimmune rheumatic/inflammatory (4), haematological malignancy (2), nephrotic syndrome (1), drug hypersensitivity syndrome (1)</t>
  </si>
  <si>
    <t>Compatible lung shadows + raised plasma beta-D-glucan, microscopy of Pneumocystis, and/or PCR in sputum/BAL (Methods)</t>
  </si>
  <si>
    <t>Adults (plus 2 paediatric described separately)</t>
  </si>
  <si>
    <t>18</t>
  </si>
  <si>
    <t>Single-arm salvage/second-line primaquine + clindamycin case series; no comparator</t>
  </si>
  <si>
    <t>Clindamycin-primaquine</t>
  </si>
  <si>
    <t>NR (mild-to-moderate salvage cases)</t>
  </si>
  <si>
    <t>Intractable PCP after failure/intolerance of TMP-SMX and pentamidine/atovaquone (Results)</t>
  </si>
  <si>
    <t>Single-arm salvage case series, mixed HIV/non-HIV, no comparator; usable as context for clindamycin-primaquine node.</t>
  </si>
  <si>
    <t>Compassionate-use PQ-CLDM after TMP-SMX (17/18) then pentamidine/atovaquone failure or intolerance. Effectiveness criteria not standardised (limitation).</t>
  </si>
  <si>
    <t>Lemiale2025</t>
  </si>
  <si>
    <t>Lemiale</t>
  </si>
  <si>
    <t>Lemiale2025 (Review_PDFs)</t>
  </si>
  <si>
    <t>10.1016/S2213-2600(25)00125-0</t>
  </si>
  <si>
    <t>RCT</t>
  </si>
  <si>
    <t>Multicentre (27 hospitals)</t>
  </si>
  <si>
    <t>2017-02-23</t>
  </si>
  <si>
    <t>2024-02-23</t>
  </si>
  <si>
    <t>mixed (haematological malignancy, allogeneic SCT, solid malignancy, solid-organ transplant, primary immune deficiency, immunosuppressive treatment)</t>
  </si>
  <si>
    <t>Immunofluorescence or PCR on BAL fluid or induced sputum; 83% diagnosed by PCR alone with high pretest probability (Methods)</t>
  </si>
  <si>
    <t>Adults (&gt;=18 years)</t>
  </si>
  <si>
    <t>218</t>
  </si>
  <si>
    <t>Adjunctive methylprednisolone (IV, tapering over 21 days) vs placebo (saline); all patients received anti-Pneumocystis antibiotherapy</t>
  </si>
  <si>
    <t>Other (specify): adjunctive corticosteroid vs placebo, both on anti-PCP antibiotherapy</t>
  </si>
  <si>
    <t>Oxygen needs / hypoxaemia (mild-to-severe)</t>
  </si>
  <si>
    <t>acute respiratory failure, mild-to-severe hypoxaemia; 208 (95%) in ICU or intermediate care at randomisation (Abstract/Results)</t>
  </si>
  <si>
    <t>Include - sensitivity only</t>
  </si>
  <si>
    <t>RCT of adjunctive corticosteroid (not antimicrobial combination); non-HIV severe PCP; relevant to adjunctive-therapy network</t>
  </si>
  <si>
    <t>Primary outcome 28-day mortality negative (p=0.069); 90-day mortality significantly lower with corticosteroid (secondary). ICU/hospital mortality percentages use cumulative-incidence/competing-risk denominators; per-arm counts recorded against ITT denominator with note.</t>
  </si>
  <si>
    <t>Li2024a</t>
  </si>
  <si>
    <t>Li</t>
  </si>
  <si>
    <t>Li2024a (Review_PDFs)</t>
  </si>
  <si>
    <t>10.1186/s12879-024-09031-7</t>
  </si>
  <si>
    <t>2018-10</t>
  </si>
  <si>
    <t>2022-09</t>
  </si>
  <si>
    <t>mixed (renal transplant 50%, haematological malignancy, nephropathy, vasculitis, lupus, polymyositis)</t>
  </si>
  <si>
    <t>Chest CT + mNGS of sputum or BALF (Methods)</t>
  </si>
  <si>
    <t>38</t>
  </si>
  <si>
    <t>Synergistic therapy (ST: SMX-TMP + caspofungin + methylprednisolone, n=20) vs monotherapy (MT: SMX-TMP alone, n=18)</t>
  </si>
  <si>
    <t>APACHE II, SOFA, PaO2/FiO2</t>
  </si>
  <si>
    <t>all severe PJP requiring high-flow O2 (&gt;=50% FiO2), NIV or MV, from ICU (Methods)</t>
  </si>
  <si>
    <t>2-arm comparison TMP-SMX+caspofungin(+GCS) vs TMP-SMX alone; non-HIV severe PCP with per-arm outcomes</t>
  </si>
  <si>
    <t>ST arm bundles caspofungin AND corticosteroid; confounds antimicrobial and steroid effects. Per-arm BDG medians reported.</t>
  </si>
  <si>
    <t>Li2024b</t>
  </si>
  <si>
    <t>Li2024b (Review_PDFs)</t>
  </si>
  <si>
    <t>10.3389/fcimb.2024.1380494</t>
  </si>
  <si>
    <t>2007-04-01</t>
  </si>
  <si>
    <t>2022-11-01</t>
  </si>
  <si>
    <t>mixed (autoimmune 36.7%, kidney disease 26.6%, organ transplant, solid/haematological malignancy)</t>
  </si>
  <si>
    <t>Pneumocystis detected in BALF/sputum/bronchial fluid/lung tissue plus clinical+imaging; respiratory failure required (Methods)</t>
  </si>
  <si>
    <t>146</t>
  </si>
  <si>
    <t>Single cohort (non-HIV PCP with respiratory failure) analysed as non-survivor (n=57) vs survivor (n=89) for prognostic factors; no randomised treatment arms</t>
  </si>
  <si>
    <t>Monotherapy (pooled) / TMP-SMX with variable caspofungin and second-line</t>
  </si>
  <si>
    <t>CD8+ T cell, BALF neutrophils, APACHE</t>
  </si>
  <si>
    <t>all non-HIV-PCP with respiratory failure; 56.8% ICU admission (Results)</t>
  </si>
  <si>
    <t>Prognostic-factor study, single cohort split by survival not by treatment allocation; no comparative per-arm outcomes on eligible regimens</t>
  </si>
  <si>
    <t>Treatment variables (caspofungin, second-line, high-dose steroid) reported by survival status, not as randomised/allocated comparison arms. Recorded whole cohort as one arm with overall outcomes.</t>
  </si>
  <si>
    <t>LiX2024</t>
  </si>
  <si>
    <t>LiX2024 (Review_PDFs)</t>
  </si>
  <si>
    <t>10.2147/IDR.S493298</t>
  </si>
  <si>
    <t>2015-10-01</t>
  </si>
  <si>
    <t>2022-07-31</t>
  </si>
  <si>
    <t>mixed (solid organ transplant, connective tissue disease, haematologic malignancy, nephrotic syndrome, IPF)</t>
  </si>
  <si>
    <t>mNGS or PCR on respiratory specimens plus elevated serum BDG; ARDS by Berlin definition (Methods)</t>
  </si>
  <si>
    <t>105</t>
  </si>
  <si>
    <t>Standard-dose methylprednisolone (n=48) vs low-dose methylprednisolone (n=57); all non-HIV PCP with ARDS on TMP-SMX</t>
  </si>
  <si>
    <t>Other (specify): standard-dose vs low-dose adjunctive corticosteroid, both on TMP-SMX</t>
  </si>
  <si>
    <t>PaO2/FiO2, APACHE II, SOFA, Murray score</t>
  </si>
  <si>
    <t>non-HIV PCP with ARDS in RICU; median PFR 143 (105-192) mmHg (Results/Table 2)</t>
  </si>
  <si>
    <t>Comparison is corticosteroid dose (not antimicrobial); non-HIV severe PCP with ARDS; relevant to steroid dose sensitivity analysis</t>
  </si>
  <si>
    <t>Both arms received TMP-SMX; contrast is standard vs low-dose methylprednisolone. Elevated BDG required for diagnosis but no per-arm BDG value reported.</t>
  </si>
  <si>
    <t>Liu2019</t>
  </si>
  <si>
    <t>Liu</t>
  </si>
  <si>
    <t>Liu2019 (Review_PDFs)</t>
  </si>
  <si>
    <t>10.2147/IDR.S199761</t>
  </si>
  <si>
    <t>2015-10</t>
  </si>
  <si>
    <t>2016-10</t>
  </si>
  <si>
    <t>mixed (haematologic malignancy, autoimmune disease, solid cancer, solid organ transplant, CKD)</t>
  </si>
  <si>
    <t>Clinical + imaging + positive PJ qPCR (sputum/bronchial washing/BAL); Ct&gt;35 excluded as colonisation (Methods)</t>
  </si>
  <si>
    <t>84</t>
  </si>
  <si>
    <t>Non-HIV PCP cohort (n=84) analysed as survivors (n=45) vs non-survivors (n=39) for prognostic factors; also compared vs HIV-infected (n=25). No randomised treatment arms.</t>
  </si>
  <si>
    <t>TMP-SMX (reference); Echinocandin monotherapy (subset)</t>
  </si>
  <si>
    <t>Chest radiographic score, qPCR fungal burden</t>
  </si>
  <si>
    <t>non-HIV PCP; hypoxia 95.2%, respiratory failure 67.9% (Results/Table 1)</t>
  </si>
  <si>
    <t>Prognostic-factor study; cohort split by survival not treatment; antifungal agent (TMP-SMX vs echinocandin) reported by group but no comparative per-arm outcome counts on the antimicrobial contrast</t>
  </si>
  <si>
    <t>Focus is prognostic factors in non-HIV PCP; adjunctive steroid found to be an independent risk factor for 60-day mortality (OR 6.23). Whole non-HIV cohort recorded as one arm.</t>
  </si>
  <si>
    <t>Liu2022</t>
  </si>
  <si>
    <t>Liu2022 (Review_PDFs)</t>
  </si>
  <si>
    <t>10.1186/s12879-022-07523-y</t>
  </si>
  <si>
    <t>2013-04-01</t>
  </si>
  <si>
    <t>mixed (rheumatic immune disease predominant, haematologic/solid tumour, organ transplant)</t>
  </si>
  <si>
    <t>qPCR for P. jirovecii DNA in BALF/sputum and/or GMS staining plus elevated BDG (definite or presumptive) (Methods)</t>
  </si>
  <si>
    <t>220</t>
  </si>
  <si>
    <t>First-line TMP-SMX (n=220; 127 failed) then second-line regimens after failure (n=49): clindamycin (C, n=13), clindamycin+primaquine (C-P, n=9), clindamycin+caspofungin (C-Ca, n=18), clindamycin+primaquine+caspofungin (C-P-Ca, n=9)</t>
  </si>
  <si>
    <t>TMP-SMX (reference); Clindamycin-primaquine; Combination (other): clindamycin+caspofungin; Combination (other): clindamycin+primaquine+caspofungin; Other: clindamycin monotherapy</t>
  </si>
  <si>
    <t>IMV, severe PCP classification, BDG, LDH</t>
  </si>
  <si>
    <t>non-HIV immunocompromised PCP; ~74% severe PCP among second-line groups (Tables 3-4)</t>
  </si>
  <si>
    <t>Comparative second-line regimen study with per-arm response and mortality counts across clindamycin/primaquine/caspofungin combinations</t>
  </si>
  <si>
    <t>Second-line n=49 small; per-regimen response and in-hospital mortality reported; grouped primaquine vs non-primaquine and caspofungin vs non-caspofungin analyses also reported. All second-line patients received clindamycin.</t>
  </si>
  <si>
    <t>Lu2017</t>
  </si>
  <si>
    <t>Lu</t>
  </si>
  <si>
    <t>Lu2017 (Review_PDFs)</t>
  </si>
  <si>
    <t>10.1016/j.transproceed.2017.04.020</t>
  </si>
  <si>
    <t>1988-07</t>
  </si>
  <si>
    <t>2015-12</t>
  </si>
  <si>
    <t>heart transplant recipients (tacrolimus/cyclosporine + mycophenolate + prednisolone)</t>
  </si>
  <si>
    <t>PCR-based P. jirovecii detection in sputum (Methods)</t>
  </si>
  <si>
    <t>11</t>
  </si>
  <si>
    <t>TMP-SMZ alone (n=6) vs TMP-SMZ + echinocandin (n=5; anidulafungin x4, caspofungin x1) in heart transplant PJP</t>
  </si>
  <si>
    <t>TMP-SMX (reference); TMP-SMX + echinocandin (any)</t>
  </si>
  <si>
    <t>PJP after heart transplantation; oxygenation tracked by PaO2/FiO2 (Methods/Results)</t>
  </si>
  <si>
    <t>Comparative (echinocandin add-on vs TMP-SMX alone) with per-arm mortality, but very small case series (n=11)</t>
  </si>
  <si>
    <t>Very small case series; mortality 2/6 (TMP-SMZ alone) vs 1/5 (echinocandin combo). All on prednisolone as maintenance immunosuppression (background), no PCP-specific adjunctive steroid described.</t>
  </si>
  <si>
    <t>Luo2025</t>
  </si>
  <si>
    <t>Luo</t>
  </si>
  <si>
    <t>Luo2025 (Review_PDFs)</t>
  </si>
  <si>
    <t>10.1186/s12887-025-06288-y</t>
  </si>
  <si>
    <t>2018-01</t>
  </si>
  <si>
    <t>2024-08</t>
  </si>
  <si>
    <t>paediatric malignancy (acute lymphoblastic leukaemia, lymphoblastic lymphoma, HLH, nephroblastoma) on chemotherapy +/- glucocorticoids</t>
  </si>
  <si>
    <t>mNGS or tNGS positive for P. jirovecii on sputum/BALF plus clinical/radiological criteria (Methods)</t>
  </si>
  <si>
    <t>Children (&lt;18 years)</t>
  </si>
  <si>
    <t>10</t>
  </si>
  <si>
    <t>Single descriptive cohort of 10 children; all TMP-SMX, 9/10 also caspofungin, 1/10 TMP-SMX mono; adjunctive corticosteroids in 4/10. No comparative arms.</t>
  </si>
  <si>
    <t>TMP-SMX + caspofungin (predominant); TMP-SMX (reference, n=1)</t>
  </si>
  <si>
    <t>Respiratory support, LDH, BDG</t>
  </si>
  <si>
    <t>40% respiratory insufficiency, 60% progressed to severe ARDS or respiratory failure (Results)</t>
  </si>
  <si>
    <t>Descriptive paediatric case series (n=10); no comparative per-arm outcomes on eligible regimens</t>
  </si>
  <si>
    <t>Whole cohort recorded as one arm (TMP-SMX+caspofungin predominant). Per-patient BDG values in Table 2. PJP-attributable mortality 1/10.</t>
  </si>
  <si>
    <t>Mundo2020</t>
  </si>
  <si>
    <t>Mundo</t>
  </si>
  <si>
    <t>Mundo2020 (Review_PDFs)</t>
  </si>
  <si>
    <t>10.1093/ofid/ofaa354</t>
  </si>
  <si>
    <t>USA</t>
  </si>
  <si>
    <t>1995</t>
  </si>
  <si>
    <t>HIV-negative subgroup: hematologic malignancy (28.6%), autoimmune (25.9%), SOT (10.7%); overall cohort includes HIV-positive</t>
  </si>
  <si>
    <t>Positive Pneumocystis jirovecii direct fluorescent assay on respiratory sample (Methods)</t>
  </si>
  <si>
    <t>71</t>
  </si>
  <si>
    <t>Adjunctive corticosteroids vs no corticosteroids (all on anti-PCP, mostly TMP-SMX); analysed in HIV-negative subgroup (n=28) and total cohort (n=71)</t>
  </si>
  <si>
    <t>PaO2/FiO2, A-a gradient, mechanical ventilation</t>
  </si>
  <si>
    <t>HIV-negative patients had higher rates and durations of mechanical ventilation and ICU stay; more severe hypoxia (Results)</t>
  </si>
  <si>
    <t>Adjunctive corticosteroid vs no-corticosteroid comparison with per-arm mortality in HIV-negative PCP; antifungal regimen not compared</t>
  </si>
  <si>
    <t>This is a corticosteroid adjunctive-therapy study, not an antifungal-combination study. HIV-negative subgroup: 20 received steroids, 8 did not. Total cohort steroids n=57, no steroids n=14 (Table 1B). All HIV- mostly TMP-SMX (22/28); a few atovaquone.</t>
  </si>
  <si>
    <t>Nagai2024</t>
  </si>
  <si>
    <t>Nagai</t>
  </si>
  <si>
    <t>Nagai2024 (Review_PDFs)</t>
  </si>
  <si>
    <t>10.1016/j.chest.2023.08.009</t>
  </si>
  <si>
    <t>Multi-centre (3 hospitals)</t>
  </si>
  <si>
    <t>2006-06</t>
  </si>
  <si>
    <t>2021-03</t>
  </si>
  <si>
    <t>connective tissue disease (majority), malignancies (solid + hematologic)</t>
  </si>
  <si>
    <t>Clinical criteria + Pneumocystis in respiratory specimen by staining (GMS/Diff-Quick) or DNA (LAMP/PCR), or elevated beta-D-glucan with response to therapy (Methods)</t>
  </si>
  <si>
    <t>136</t>
  </si>
  <si>
    <t>Low-dose TMP-SMX (TMP &lt;12.5 mg/kg/d) vs conventional-dose TMP-SMX (TMP 12.5-20 mg/kg/d)</t>
  </si>
  <si>
    <t>Respiratory status (oxygen support/ventilation), LDH, albumin</t>
  </si>
  <si>
    <t>few patients with severe respiratory failure (eg, those on ventilators) were included (Limitations)</t>
  </si>
  <si>
    <t>Two-arm TMP-SMX dose comparison with per-arm mortality and adverse-event counts in non-HIV PCP</t>
  </si>
  <si>
    <t>Dose comparison, both arms TMP-SMX (single node). Adjusted (overlap-weighted) mortality also reported: 30-d 6.7% vs 18.4% (P=.080); 180-d 14.6% vs 26.1% (P=.141). Unadjusted integer counts recorded below (Table 2). BDG used diagnostically but no per-arm baseline value reported.</t>
  </si>
  <si>
    <t>Nakashima2018</t>
  </si>
  <si>
    <t>Nakashima</t>
  </si>
  <si>
    <t>2018</t>
  </si>
  <si>
    <t>Nakashima2018 (Review_PDFs)</t>
  </si>
  <si>
    <t>10.1016/j.jmii.2017.07.007</t>
  </si>
  <si>
    <t>2006-01</t>
  </si>
  <si>
    <t>2016-06</t>
  </si>
  <si>
    <t>connective tissue disease (66.7% low-dose), hematologic malignancy, solid tumors on steroids</t>
  </si>
  <si>
    <t>Positive conventional staining (GMS/Diff-Quick) or DNA (LAMP/PCR) on respiratory specimen + compatible CT and symptoms (Methods)</t>
  </si>
  <si>
    <t>53</t>
  </si>
  <si>
    <t>Low-dose TMP-SMX (TMP 4-10 mg/kg/d) vs conventional-dose TMP-SMX (TMP 10-20 mg/kg/d, used as reference)</t>
  </si>
  <si>
    <t>Respiratory status (oxygen/ventilation), LDH, albumin</t>
  </si>
  <si>
    <t>62.5% (low-dose) and 75.9% (conventional) required oxygen; low-dose had none on mechanical ventilation (Results)</t>
  </si>
  <si>
    <t>Two-arm TMP-SMX dose comparison with per-arm mortality/survival and adverse events in non-HIV PCP</t>
  </si>
  <si>
    <t>Both arms TMP-SMX (single node), dose comparison. Authors did NOT perform formal hypothesis testing (conventional-dose group used only as reference). Survival reported as Kaplan-Meier rates; 30-day death counts derivable (1/24 low-dose, 9/29 conventional).</t>
  </si>
  <si>
    <t>Neofytos2018</t>
  </si>
  <si>
    <t>Neofytos</t>
  </si>
  <si>
    <t>Neofytos2018 (Review_PDFs)</t>
  </si>
  <si>
    <t>10.1111/tid.12984</t>
  </si>
  <si>
    <t>Switzerland</t>
  </si>
  <si>
    <t>Multi-centre (Swiss Transplant Cohort, 6 centres)</t>
  </si>
  <si>
    <t>2008-05</t>
  </si>
  <si>
    <t>2016-05</t>
  </si>
  <si>
    <t>solid organ transplant recipients (kidney 73.2%, heart 12.2%, liver 9.8%, kidney-pancreas 2.4%, lung 2.4%)</t>
  </si>
  <si>
    <t>Positive direct microscopy by immunofluorescence on induced sputum/BAL and/or positive PCR on BAL (consensus guidelines) (Methods)</t>
  </si>
  <si>
    <t>41</t>
  </si>
  <si>
    <t>Single-arm descriptive cohort of PJP in SOT recipients (no antifungal-regimen comparison); most treated with TMP-SMX</t>
  </si>
  <si>
    <t>Absolute lymphocyte count; not a severity comparison</t>
  </si>
  <si>
    <t>mean ALC 548 cells/mm3 within 7 days of PJP diagnosis (Results)</t>
  </si>
  <si>
    <t>Descriptive SOT PJP epidemiology/prognosis study; no treatment comparison with per-arm outcomes; univariable analysis found no treatment-outcome association</t>
  </si>
  <si>
    <t>Descriptive whole-cohort study. Treatment mixed: 35 (85.4%) TMP-SMX, 5 (12.2%) clindamycin-primaquine, 1 (2.4%) pentamidine. Serum beta-D glucan collected but no values reported. 12-week mortality 2/41; 1-year mortality 6/41.</t>
  </si>
  <si>
    <t>Niu2023</t>
  </si>
  <si>
    <t>Niu</t>
  </si>
  <si>
    <t>2023</t>
  </si>
  <si>
    <t>Niu2023 (Review_PDFs)</t>
  </si>
  <si>
    <t>10.3389/fcimb.2023.1132472</t>
  </si>
  <si>
    <t>2020-01</t>
  </si>
  <si>
    <t>2022-06</t>
  </si>
  <si>
    <t>pediatric: autoimmune encephalitis (rituximab), ALL, post-transplant (tacrolimus), post-renal transplant, sarcoma</t>
  </si>
  <si>
    <t>mNGS (BALF or blood) positive for Pneumocystis jirovecii; Regie's (Grocott) stain in some (Methods)</t>
  </si>
  <si>
    <t>Children (11 months-14 years)</t>
  </si>
  <si>
    <t>5</t>
  </si>
  <si>
    <t>Single-arm case series; all 5 children treated with TMP-SMX + caspofungin (no comparator)</t>
  </si>
  <si>
    <t>Mechanical ventilation, LDH, BDG</t>
  </si>
  <si>
    <t>All five children developed respiratory distress within 3-4 days and were mechanically ventilated (Results)</t>
  </si>
  <si>
    <t>Small pediatric case series, single arm (TMP-SMX + caspofungin), no comparator; descriptive</t>
  </si>
  <si>
    <t>Pediatric case series. All 5 received TMP-SMX + caspofungin. 4 cured, 1 died (Case 2). Per-case peak beta-D-glucan values reported (Table 1).</t>
  </si>
  <si>
    <t>Para2020</t>
  </si>
  <si>
    <t>Para</t>
  </si>
  <si>
    <t>Para2020 (Review_PDFs)</t>
  </si>
  <si>
    <t>10.4081/itjm.2020.1262</t>
  </si>
  <si>
    <t>Italy</t>
  </si>
  <si>
    <t>Multi-centre (AOU Careggi, Firenze; AOU Senese, Siena)</t>
  </si>
  <si>
    <t>2015-06</t>
  </si>
  <si>
    <t>Inpatient ward</t>
  </si>
  <si>
    <t>active neoplastic disease 100%; hematologic malignancy 72.2% (non-Hodgkin lymphoma predominant); solid cancer 27.8%</t>
  </si>
  <si>
    <t>Compatible clinical-radiological findings + qualitative PCR positivity on BAL (Methods)</t>
  </si>
  <si>
    <t>Descriptive cohort; all on TMP-SMX; caspofungin added in 13/18 (subgroup outcome reported but not a clean comparison)</t>
  </si>
  <si>
    <t>PaO2/FiO2, CURB-65, PSI, arterial blood gas</t>
  </si>
  <si>
    <t>favorable outcome mean PaO2/FiO2 274.6 vs unfavorable 177.4 (P&lt;0.05) (Results)</t>
  </si>
  <si>
    <t>Descriptive prognostic study; caspofungin subgroup outcome reported (9/13 unfavorable) but no clean per-arm comparison vs non-caspofungin; primary outcome is composite (death or ICU transfer)</t>
  </si>
  <si>
    <t>All 18 received TMP-SMX. Caspofungin added in 13/18 (unfavorable outcome 9/13, 69.23%). Glucocorticoids in 17/18 (unfavorable 12/17). Primary outcome = composite unfavorable (death or ICU transfer) 12/18. Pure per-arm mortality not separated from ICU transfer.</t>
  </si>
  <si>
    <t>Pulsipher2026</t>
  </si>
  <si>
    <t>Pulsipher</t>
  </si>
  <si>
    <t>Pulsipher2026 (Review_PDFs)</t>
  </si>
  <si>
    <t>10.1016/j.chest.2025.10.036</t>
  </si>
  <si>
    <t>Multi-centre (multiple sites within single Mayo Clinic health system)</t>
  </si>
  <si>
    <t>2019-01</t>
  </si>
  <si>
    <t>2025-02</t>
  </si>
  <si>
    <t>hematologic malignancy 30.1%, solid tumor on chemotherapy 29.9%, autoimmune disease 17.1%, solid organ transplant 13.9%, steroids only 9.9%</t>
  </si>
  <si>
    <t>Proven (microscopic identification) 9.6% or probable (immunocompromise + imaging + beta-D-glucan &gt;80 pg/mL or positive PCR) 90.4%, per EORTC/MSGERC (Methods)</t>
  </si>
  <si>
    <t>375</t>
  </si>
  <si>
    <t>Corticosteroid dose-response (continuous cumulative prednisone-equivalent dose modeled with MSM/IPTW); no binary treatment arms; 351/375 (93.6%) received steroids</t>
  </si>
  <si>
    <t>Daily oxygen support method and FIO2; hypoxemia required at baseline</t>
  </si>
  <si>
    <t>All patients were hypoxemic (requiring supplemental oxygen) at treatment initiation; 56.3% ICU admission (Methods/Results)</t>
  </si>
  <si>
    <t>Corticosteroid dose-response analysis (continuous exposure via marginal structural models); no binary steroid vs no-steroid arms and no antifungal-regimen comparison; adjusted effect for cumulative steroid dose reported</t>
  </si>
  <si>
    <t>Corticosteroid dose-response study. TMP-SMX predominant treatment (299/375, 79.7%); atovaquone 55, clindamycin-primaquine 17, pentamidine 4. Exposure modeled continuously; effect = weighted HR 1.01 per 100 mg cumulative prednisone-equivalent for 90-d mortality (higher dose -&gt; higher mortality). Whole-cohort outcome counts recorded below.</t>
  </si>
  <si>
    <t>Qi2023</t>
  </si>
  <si>
    <t>Qi</t>
  </si>
  <si>
    <t>Qi2023 (Review_PDFs)</t>
  </si>
  <si>
    <t>10.1186/s12879-023-08372-z</t>
  </si>
  <si>
    <t>Single-centre (Nanjing Drum Tower Hospital)</t>
  </si>
  <si>
    <t>2016-01</t>
  </si>
  <si>
    <t>rheumatic diseases 55.9%, tumors 15.1%, organ transplantation 5.4%, others 22.6%</t>
  </si>
  <si>
    <t>Pneumocystis in qualified sputum/BALF stained with hexamine silver + PCR-based assay (Methods)</t>
  </si>
  <si>
    <t>93</t>
  </si>
  <si>
    <t>Three-arm: (1) TMP-SMZ monotherapy vs (2) initial caspofungin + TMP-SMZ (first-line) vs (3) TMP-SMZ then caspofungin salvage; severe non-HIV PCP in ICU</t>
  </si>
  <si>
    <t>TMP-SMX (reference); TMP-SMX + caspofungin; Combination (other, specify): TMP-SMX then caspofungin salvage</t>
  </si>
  <si>
    <t>APACHE II, PaO2/FiO2, invasive mechanical ventilation</t>
  </si>
  <si>
    <t>median APACHE II 21.44; average oxygenation index 113.02 +/- 53.09; 43.01% required invasive mechanical ventilation (Results)</t>
  </si>
  <si>
    <t>Three-arm comparison including TMP-SMX reference, TMP-SMX + caspofungin (first-line), and salvage caspofungin combination, with per-arm response and mortality counts</t>
  </si>
  <si>
    <t>3 groups. Per-arm counts available (Table 2). Group 2 (initial caspofungin+TMP-SMZ) best positive response (76.7%, P=0.001). 90-day mortality G2 39.5% vs shift G3 65.5% (P=0.024); vs monotherapy G1 48.6% (P=0.322 per abstract). Per-arm serum BDG means reported (Table 1). Minor text-vs-table inconsistencies in response rate (72.09% text vs 76.7% Table 2) and overall mortality (46.23% vs 49.46%); Table 2 values used.</t>
  </si>
  <si>
    <t>Qi2025</t>
  </si>
  <si>
    <t>Qi (Yanmeng)</t>
  </si>
  <si>
    <t>Qi2025 (Review_PDFs)</t>
  </si>
  <si>
    <t>10.1186/s12879-025-12229-y</t>
  </si>
  <si>
    <t>2024-10</t>
  </si>
  <si>
    <t>mixed; connective tissue disease most common (58.2%), kidney disease, haematological disease/malignancy, IBD, Cushing's, organ transplant</t>
  </si>
  <si>
    <t>Silver methylamine staining or PCR on BALF/sputum/bronchial secretions/lung tissue (Methods)</t>
  </si>
  <si>
    <t>165</t>
  </si>
  <si>
    <t>TMP/SMZ monotherapy (group1) vs TMP/SMZ + caspofungin (group2) vs TMP/SMZ + clindamycin (group3); 2 clindamycin+primaquine excluded from group comparison</t>
  </si>
  <si>
    <t>TMP-SMX (reference); TMP-SMX + caspofungin; Combination (other, specify): TMP-SMX + clindamycin</t>
  </si>
  <si>
    <t>PaO2 (room air) &lt;70 mmHg and A-aDO2 &gt;=45 mmHg (all severe PCP)</t>
  </si>
  <si>
    <t>The criteria for severe PCP diagnosis: oxygen partial pressure in breathing air &lt; 70 mmHg and pulmonary artery-arterial oxygen partial pressure difference (A-aDO2) &gt;= 45 mmHg</t>
  </si>
  <si>
    <t>3-arm comparison with per-arm mortality and MV counts on eligible regimens (TMP-SMX ref, +caspofungin, +clindamycin) in severe non-HIV PCP</t>
  </si>
  <si>
    <t>Treatment-group comparison table (Table 4) uses N=163 (79/35/49); among the 109 invasively ventilated (Table 5) groups are 43/27/39. Abstract text transposes group2/group3 mortality percentages relative to Table 4; Table 4 values used.</t>
  </si>
  <si>
    <t>Reizine2026</t>
  </si>
  <si>
    <t>Reizine</t>
  </si>
  <si>
    <t>Reizine2026 (Review_PDFs)</t>
  </si>
  <si>
    <t>10.1136/thorax-2025-223504</t>
  </si>
  <si>
    <t>Multicentre (3 French hospitals; PRONOCYSTIS cohort)</t>
  </si>
  <si>
    <t>haematological malignancy (32.3%), solid organ transplant (27.4%), IMID (24.6%), solid tumour (15.1%)</t>
  </si>
  <si>
    <t>Proven (microscopy/PCR/BAL) or Probable (EORTC/MSG); mixed (26.9% proven)</t>
  </si>
  <si>
    <t>EORTC/MSG proven or probable PcP; mycological diagnosis on BAL (Methods)</t>
  </si>
  <si>
    <t>350</t>
  </si>
  <si>
    <t>Early adjunctive corticosteroids (&gt;=1 mg/kg/day prednisone equiv within 5 days, n=116) vs no early AC (n=234); propensity-matched 109 vs 109</t>
  </si>
  <si>
    <t>Other (specify): early adjunctive corticosteroids vs none (anti-PcP backbone not reported per arm)</t>
  </si>
  <si>
    <t>SAPS II; PaO2/FiO2 ratio</t>
  </si>
  <si>
    <t>median PaO2/FiO2 ratio was 224 (114-229); median SAPS II 30 (24-39)</t>
  </si>
  <si>
    <t>Adjunctive corticosteroid comparison with per-arm 90-day mortality in HIV-negative severe PcP; no antifungal-node contrast (steroid adjunct only)</t>
  </si>
  <si>
    <t>Corticosteroid adjunct comparison (not an antifungal regimen contrast). Unmatched cohort counts used for arms; matched cohort (109 vs 109) also reported.</t>
  </si>
  <si>
    <t>Schmidt2018</t>
  </si>
  <si>
    <t>Schmidt</t>
  </si>
  <si>
    <t>Schmidt2018 (Review_PDFs)</t>
  </si>
  <si>
    <t>10.1186/s13054-018-2221-8</t>
  </si>
  <si>
    <t>Germany</t>
  </si>
  <si>
    <t>Single-centre (Hannover Medical School, tertiary)</t>
  </si>
  <si>
    <t>2000-01</t>
  </si>
  <si>
    <t>2017-06</t>
  </si>
  <si>
    <t>HIV 52%; SOT 16.3%; chemotherapy/malignancy 15.8%; immunosuppression/rheumatic 11.7%; miscellaneous 4.2%</t>
  </si>
  <si>
    <t>Direct immunofluorescence or Diff-Quick staining on bronchial washing/BAL fluid (Methods)</t>
  </si>
  <si>
    <t>240</t>
  </si>
  <si>
    <t>Descriptive cohort; TMP-SMX dose subgroups (&gt;=15 vs &lt;15 mg/kg/day) analysed; no antifungal-combination comparison</t>
  </si>
  <si>
    <t>ICU admission / mechanical ventilation; LDH</t>
  </si>
  <si>
    <t>41.7% admitted to ICU, 36.6% mechanically ventilated; in-hospital mortality 25.4%, 58% if ICU</t>
  </si>
  <si>
    <t>Descriptive/prognostic-factor study (LDH, TMP-SMX dose); no combination/adjunctive antifungal comparison; mixed HIV/non-HIV</t>
  </si>
  <si>
    <t>224/240 treated with TMP-SMX; 16 with alternatives (atovaquone/pentamidine) or none. Dose subgroup mortality counts not tabulated (only overall + HR).</t>
  </si>
  <si>
    <t>Taniguchi2024a</t>
  </si>
  <si>
    <t>Taniguchi</t>
  </si>
  <si>
    <t>Taniguchi2024a (Review_PDFs)</t>
  </si>
  <si>
    <t>10.1016/j.idnow.2024.104992</t>
  </si>
  <si>
    <t>Multicentre / nationwide (Diagnosis Procedure Combination inpatient database, &gt;1200 hospitals)</t>
  </si>
  <si>
    <t>2010-07</t>
  </si>
  <si>
    <t>2022-03</t>
  </si>
  <si>
    <t>connective tissue disease/vasculitis (44%), non-haem malignancy (25%), haematological malignancy (21%), chronic inflammatory disease, SOT, immunodeficiency</t>
  </si>
  <si>
    <t>ICD-10 code B59 (administrative database; no microbiological confirmation available)</t>
  </si>
  <si>
    <t>Adults (&gt;=15)</t>
  </si>
  <si>
    <t>4449</t>
  </si>
  <si>
    <t>Conventional-dose TMP-SMX (15-20 mg/kg/d, n=1682) vs low-dose TMP-SMX (7.5-&lt;15 mg/kg/d, n=2767); propensity-score overlap weighting</t>
  </si>
  <si>
    <t>GCS, Barthel index, ICU/HCU stay, mechanical ventilation, vasopressors</t>
  </si>
  <si>
    <t>ICU or HCU admission 6.1% (conv) / 5.5% (low); mechanical ventilation 8.9% / 7.1% within 2d</t>
  </si>
  <si>
    <t>TMP-SMX dose comparison within the reference node (no between-node contrast); useful as context for TMP-SMX baseline in non-HIV PCP</t>
  </si>
  <si>
    <t>Only percentages/risk differences reported; per-arm mortality event counts not tabulated. Events below computed from crude % (uncertain - verify).</t>
  </si>
  <si>
    <t>Taniguchi2024b</t>
  </si>
  <si>
    <t>Taniguchi2024b (Review_PDFs)</t>
  </si>
  <si>
    <t>10.1016/j.jiac.2024.08.004</t>
  </si>
  <si>
    <t>2012-04</t>
  </si>
  <si>
    <t>connective tissue disease/vasculitis, haematological malignancy (higher in combo arm 41.8% crude), non-haem malignancy, chronic inflammatory disease, SOT, immunodeficiency</t>
  </si>
  <si>
    <t>ICD-10 code B59 (administrative database; no microbiological confirmation)</t>
  </si>
  <si>
    <t>1324</t>
  </si>
  <si>
    <t>TMP-SMX alone (n=1202) vs TMP-SMX + echinocandins (caspofungin/micafungin, n=122); echinocandin started within 3 days of TMP-SMX; propensity-score overlap weighting</t>
  </si>
  <si>
    <t>ICU/HCU admission 6.0% (alone) / 9.0% (combo); mechanical ventilation 9.8% / 15.6% within 2d</t>
  </si>
  <si>
    <t>TMP-SMX alone (reference) vs TMP-SMX + echinocandin (any) with per-arm in-hospital mortality; both controlled-vocabulary nodes</t>
  </si>
  <si>
    <t>Echinocandin breakdown 11.5% caspofungin, 88.5% micafungin (mean caspofungin 75.0 mg/day, micafungin 135.2 mg/day). Crude mortality event counts computed from % (uncertain - verify). Note: Results text says combo mortality was 'higher' but reported 20.5% &lt; 28.7% (apparent wording error; RD 8.1% favours combo crude).</t>
  </si>
  <si>
    <t>Taniguchi2025</t>
  </si>
  <si>
    <t>Taniguchi2025 (Review_PDFs)</t>
  </si>
  <si>
    <t>10.2169/internalmedicine.4738-24</t>
  </si>
  <si>
    <t>connective tissue disease/vasculitis (~35%), chronic inflammatory disease, non-haem and haematological malignancy, SOT, immunodeficiency</t>
  </si>
  <si>
    <t>5870</t>
  </si>
  <si>
    <t>TMP-SMX (n=5456) vs IV pentamidine (n=414) as initial therapy; propensity-score overlap weighting + instrumental-variable sensitivity analysis</t>
  </si>
  <si>
    <t>TMP-SMX (reference); IV pentamidine</t>
  </si>
  <si>
    <t>ICU/HCU admission 5.5% (TMP-SMX) / 7.7% (pentamidine); mechanical ventilation 7.9% / 9.2%</t>
  </si>
  <si>
    <t>TMP-SMX (reference) vs IV pentamidine with per-arm in-hospital mortality; both are controlled-vocabulary nodes</t>
  </si>
  <si>
    <t>Only percentages/risk differences reported; per-arm mortality event counts not tabulated. Events computed from crude % (uncertain - verify). PS-weighted mortality 23.6% vs 40.1% (abstract).</t>
  </si>
  <si>
    <t>Tian2020</t>
  </si>
  <si>
    <t>Tian</t>
  </si>
  <si>
    <t>Tian2020 (Review_PDFs)</t>
  </si>
  <si>
    <t>10.1111/hiv.13013</t>
  </si>
  <si>
    <t>Single main centre (Third People's Hospital of Guilin; multi-author)</t>
  </si>
  <si>
    <t>2019-12</t>
  </si>
  <si>
    <t>HIV-positive</t>
  </si>
  <si>
    <t>HIV infection, moderate-to-severe PCP, median CD4 30 cells/uL</t>
  </si>
  <si>
    <t>Mixed (Proven by cyst/trophozoite in respiratory specimens/lung tissue, or clinical diagnosis)</t>
  </si>
  <si>
    <t>Cyst/trophozoite of P. jirovecii in respiratory specimens or lung tissue, or clinical diagnosis with typical imaging (Methods)</t>
  </si>
  <si>
    <t>Adults (newly diagnosed)</t>
  </si>
  <si>
    <t>278</t>
  </si>
  <si>
    <t>TMP/SMZ monotherapy (group1, n=135) vs caspofungin + TMP/SMZ first-line combination (groups 2+3+4, n=143; differing caspofungin timing)</t>
  </si>
  <si>
    <t>PaO2 &lt;=70 mmHg or AaDO2 &gt;=35 mmHg (moderate-to-severe); mechanical ventilation</t>
  </si>
  <si>
    <t>only included HIV-infected patients with PaO2 &lt;= 70 mmHg or AaDO2 &gt;= 35 mmHg as having moderate-to-severe PCP</t>
  </si>
  <si>
    <t>TMP-SMX vs TMP-SMX + caspofungin first-line with per-arm mortality and response counts; note HIV-positive population</t>
  </si>
  <si>
    <t>Caspofungin combination pooled from groups 2 (n=39, casp after 2wk), 3 (n=79, casp after 1wk) and 4 (n=25, casp from day 0). Per-group counts also available (mortality 57/14/19/2; response 51/18/48/19).</t>
  </si>
  <si>
    <t>Urabe2019</t>
  </si>
  <si>
    <t>Urabe</t>
  </si>
  <si>
    <t>Urabe2019 (Review_PDFs)</t>
  </si>
  <si>
    <t>10.1016/j.jiac.2019.05.007</t>
  </si>
  <si>
    <t>Single-centre (Toho University Omori Medical Center)</t>
  </si>
  <si>
    <t>2007-01</t>
  </si>
  <si>
    <t>2018-09</t>
  </si>
  <si>
    <t>autoimmune disorder (~46%), kidney transplantation (~24%), malignancy (~30%); on corticosteroids/immunosuppressants</t>
  </si>
  <si>
    <t>Proven (microscopy/PCR/BAL); Grocott silver staining or nested PCR of BAL/sputum</t>
  </si>
  <si>
    <t>P. jirovecii cysts by Grocott silver staining or positive nested PCR of BAL fluid or sputum (Methods)</t>
  </si>
  <si>
    <t>63</t>
  </si>
  <si>
    <t>Single cohort, prognostic biomarker study; survivors (n=49) vs non-survivors (n=14) by 60-day mortality (not a treatment comparison)</t>
  </si>
  <si>
    <t>PaO2/FiO2 ratio</t>
  </si>
  <si>
    <t>PaO2/FiO2 survivors 282.9 (236.2-356.2) vs nonsurvivors 219.3 (169.8-232.1) mmHg, p=0.001</t>
  </si>
  <si>
    <t>Prognostic serum-biomarker study (BDG, KL-6, SP-D serial change); no comparative treatment arms; whole cohort = one arm</t>
  </si>
  <si>
    <t>First-line regimens: TMP-SMX 56 (survivors 42 + nonsurvivors 14), pentamidine 5, atovaquone 2. Whole cohort recorded as one (predominantly TMP-SMX) arm. Rich serial BDG/SP-D/KL-6 data.</t>
  </si>
  <si>
    <t>Wang2019</t>
  </si>
  <si>
    <t>Wang</t>
  </si>
  <si>
    <t>Wang2019 (Review_PDFs)</t>
  </si>
  <si>
    <t>10.1155/2019/8105075</t>
  </si>
  <si>
    <t>2013-01</t>
  </si>
  <si>
    <t>AIDS (HIV-positive), CD4 mean ~59 cells/uL</t>
  </si>
  <si>
    <t>Clinical/possible</t>
  </si>
  <si>
    <t>Unified clinical diagnostic standard (no bronchoscopy/molecular test performed) (Discussion/Methods)</t>
  </si>
  <si>
    <t>122</t>
  </si>
  <si>
    <t>Echinocandin + TMP-SMX + clindamycin (n=52) vs TMP-SMX + clindamycin (n=70); all received glucocorticoid; subgrouped by PaO2/FiO2 &gt;200 vs &lt;=200</t>
  </si>
  <si>
    <t>Combination (other, specify): TMP-SMX + echinocandin + clindamycin; Combination (other, specify): TMP-SMX + clindamycin</t>
  </si>
  <si>
    <t>PaO2/FiO2 (oxygenation)</t>
  </si>
  <si>
    <t>mild = PaO2/FiO2 &gt;200 (n=100); severe = PaO2/FiO2 &lt;=200 (n=22)</t>
  </si>
  <si>
    <t>2-arm comparison with per-arm mortality; adds echinocandin to TMP-SMX+clindamycin backbone. NOTE: HIV-POSITIVE (AIDS) population, not non-HIV</t>
  </si>
  <si>
    <t>Pilot cohort in AIDS-PCP. Comparator arm is TMP-SMX+clindamycin (not TMP-SMX alone). CAUTION: the &lt;=200 subgroup mortality labels are internally inconsistent - abstract/section 3.2 report combined 26.67% (4/15) vs non-combined 42.86% (3/7), but the flowchart (Fig 1) and Discussion report the OPPOSITE (combined 3/7=42.86%, non-combined 4/15=26.67%). Flowchart-consistent numbers used here.</t>
  </si>
  <si>
    <t>Wang2022</t>
  </si>
  <si>
    <t>Wang2022 (Review_PDFs)</t>
  </si>
  <si>
    <t>10.1111/crj.13463</t>
  </si>
  <si>
    <t>Multi-centre (bicentric)</t>
  </si>
  <si>
    <t>2012-10</t>
  </si>
  <si>
    <t>2020-07</t>
  </si>
  <si>
    <t>renal disease (23.4%), ILD (16.2%), dermatomyositis (12.3%), SLE (9.7%), vasculitis (9.1%), hematologic malignancy (7.1%)</t>
  </si>
  <si>
    <t>silver methenamine staining or PCR on sputum/tracheal aspirate/BALF (Methods)</t>
  </si>
  <si>
    <t>154</t>
  </si>
  <si>
    <t>Caspofungin during hospitalization (n=60, mostly as add-on/salvage to TMP-SMX) vs no caspofungin (n=94); primary study is prognostic-factor analysis of in-hospital mortality (whole cohort 65.6%)</t>
  </si>
  <si>
    <t>TMP-SMX + caspofungin; TMP-SMX (reference)</t>
  </si>
  <si>
    <t>APACHE II / PaO2/FiO2</t>
  </si>
  <si>
    <t>all ICU; APACHE II mean 19.3; PaO2/FiO2 median 108-147 (Table 1)</t>
  </si>
  <si>
    <t>Per-arm mortality for caspofungin vs no-caspofungin available; TMP-SMX given to 153/154 so contrast approximates TMP-SMX+caspofungin vs TMP-SMX. Confounded by indication (caspofungin used as salvage / for sulfa allergy / fungal coinfection)</t>
  </si>
  <si>
    <t>Caspofungin subgroup analysis (Tables 3-4) provides per-arm counts. Caspofungin frequently used as salvage/for coinfection -&gt; confounding by indication. BDG (G test) reported by survival status only, not by treatment arm.</t>
  </si>
  <si>
    <t>WangL2026</t>
  </si>
  <si>
    <t>Wang L.</t>
  </si>
  <si>
    <t>WangL2026 (Review_PDFs)</t>
  </si>
  <si>
    <t>10.21037/jtd-2025-1984</t>
  </si>
  <si>
    <t>2023-03</t>
  </si>
  <si>
    <t>organ transplantation (31.7%), CTD (24.2%), solid tumor (22.5%), ILD (18.3%), hematologic malignancy (10.8%)</t>
  </si>
  <si>
    <t>PCR of induced sputum/BAL or mNGS (Methods)</t>
  </si>
  <si>
    <t>120</t>
  </si>
  <si>
    <t>High-dose (&gt;=1 mg/kg/d prednisone eq, n=72) vs low-dose (&lt;1 mg/kg/d, n=48) adjunctive corticosteroid; both arms predominantly TMP-SMX (96.7%), caspofungin in 54.2%, IVIG in 43.3%</t>
  </si>
  <si>
    <t>Combination (other, specify): TMP-SMX +/- caspofungin + high-dose corticosteroid; Combination (other, specify): TMP-SMX +/- caspofungin + low-dose corticosteroid</t>
  </si>
  <si>
    <t>SOFA-resp / oxygenation index / respiratory failure subgroup</t>
  </si>
  <si>
    <t>69/120 had respiratory failure; overall day-1 OI 214 mmHg (Results/Table 1)</t>
  </si>
  <si>
    <t>Comparison is corticosteroid DOSE (high vs low), not anti-PCP regimen; both arms TMP-SMX-based; useful for adjunctive-steroid dose sensitivity analysis</t>
  </si>
  <si>
    <t>This is a steroid-dosing study, not a regimen comparison. Both arms received the same base anti-PCP therapy (TMP-SMX predominant). Per-arm mortality counts available.</t>
  </si>
  <si>
    <t>Wieruszewski2018</t>
  </si>
  <si>
    <t>Wieruszewski</t>
  </si>
  <si>
    <t>Wieruszewski2018 (Review_PDFs)</t>
  </si>
  <si>
    <t>10.1016/j.chest.2018.04.026</t>
  </si>
  <si>
    <t>2016-08</t>
  </si>
  <si>
    <t>hematologic malignancy (50%), inflammatory/CTD (31%), solid organ tumor (19%), BMT (8%), SOT (6%)</t>
  </si>
  <si>
    <t>positive single-copy Pneumocystis PCR or smear from respiratory specimen (Methods)</t>
  </si>
  <si>
    <t>323</t>
  </si>
  <si>
    <t>Early corticosteroids (within 48h, n=258) vs no early steroids (n=65); anti-PCP mainly SMX-TMP (93%). Corticosteroid-TIMING study; propensity-matched (108 vs 54)</t>
  </si>
  <si>
    <t>Combination (other, specify): TMP-SMX + early corticosteroid; TMP-SMX (reference, no early steroid)</t>
  </si>
  <si>
    <t>SOFA-resp (PaO2/FiO2 or SpO2/FiO2)</t>
  </si>
  <si>
    <t>baseline median SOFA-resp 2 (IQR 1-3); PF ratio 145 (Results/Table 1)</t>
  </si>
  <si>
    <t>Corticosteroid-timing comparison, not an anti-PCP regimen comparison; per-arm mortality/outcome EVENT COUNTS not reported (only adjusted HRs/ORs and overall rates)</t>
  </si>
  <si>
    <t>Largest non-HIV PcP steroid study. Primary outcome delta-SOFA-resp at day 5. Per-arm mortality given only as adjusted HR + overall 30-day rate 22.9%; raw per-arm death counts NR. Author contact would be needed for per-arm event counts.</t>
  </si>
  <si>
    <t>Wu2022</t>
  </si>
  <si>
    <t>Wu H.-H.</t>
  </si>
  <si>
    <t>Wu2022 (Review_PDFs)</t>
  </si>
  <si>
    <t>10.12998/wjcc.v10.i9.2743</t>
  </si>
  <si>
    <t>2019-10</t>
  </si>
  <si>
    <t>2021-04</t>
  </si>
  <si>
    <t>lung cancer with radiotherapy (7), autoimmune disease (5), membranous nephropathy (4), non-Hodgkin lymphoma (4), organ transplantation (2)</t>
  </si>
  <si>
    <t>metagenomic next-generation sequencing (mNGS) of BALF (Methods)</t>
  </si>
  <si>
    <t>22</t>
  </si>
  <si>
    <t>Single arm: all 22 treated with TMP-SMX + caspofungin; 17/22 also short-term glucocorticoid; no comparator</t>
  </si>
  <si>
    <t>oxygenation index / respiratory failure</t>
  </si>
  <si>
    <t>all developed respiratory failure; oxygenation index mean 209.55 (Results/Table 1)</t>
  </si>
  <si>
    <t>Single-arm descriptive case series, no treatment comparison</t>
  </si>
  <si>
    <t>All 22 patients recovered and were discharged (0 deaths); no invasive mechanical ventilation used. Whole cohort = one arm.</t>
  </si>
  <si>
    <t>Xu2025</t>
  </si>
  <si>
    <t>Xu</t>
  </si>
  <si>
    <t>Xu2025 (Review_PDFs)</t>
  </si>
  <si>
    <t>10.1016/j.jinf.2025.106548</t>
  </si>
  <si>
    <t>Multi-centre (16 ICUs)</t>
  </si>
  <si>
    <t>2023-09</t>
  </si>
  <si>
    <t>CKD (31.7%), diabetes (20.8%), solid tumor (17.5%), organ transplantation (17.5%), CTD (15.0%), hematologic neoplasms (15.0%)</t>
  </si>
  <si>
    <t>mNGS of BALF positive for P. jirovecii (Methods)</t>
  </si>
  <si>
    <t>TMP-SMX monotherapy (n=31) vs TMP-SMX + caspofungin (n=89); primary outcome 28-day mortality from ICU admission; IPTW-adjusted</t>
  </si>
  <si>
    <t>SOFA score at ICU admission</t>
  </si>
  <si>
    <t>SOFA mean 7.1 (SD 2.7); mechanical ventilation in 82.5% (Table 1)</t>
  </si>
  <si>
    <t>Direct comparative cohort with per-arm 28-day mortality (TMP-SMX vs TMP-SMX+caspofungin), adjusted HR reported</t>
  </si>
  <si>
    <t>Letter to the Editor. 95/120 patients came from previously reported cohorts (possible overlap with other Chinese ICU PJP studies). Combination associated with LOWER 28-day mortality (adj HR for monotherapy 2.97).</t>
  </si>
  <si>
    <t>Yanmeng2026</t>
  </si>
  <si>
    <t>Yanmeng2026 (Review_PDFs)</t>
  </si>
  <si>
    <t>connective tissue disease (58.2%), kidney disease (9.1%), hematologic disease (7.3%), hematologic tumor (7.3%)</t>
  </si>
  <si>
    <t>silver methenamine staining or PCR on BALF/sputum/bronchial secretions/lung tissue (Methods)</t>
  </si>
  <si>
    <t>Three treatment groups: G1 TMP/SMZ monotherapy (n=79), G2 TMP/SMZ + caspofungin (n=35), G3 TMP/SMZ + clindamycin (n=49); 2 clindamycin+primaquine excluded from group comparison (163 analysed). Also MV subgroup (n=109). Primary study is risk-factor analysis (overall mortality 50.3%)</t>
  </si>
  <si>
    <t>PaO2 / A-aDO2 (severe PCP definition); invasive MV</t>
  </si>
  <si>
    <t>severe PCP: PaO2 &lt;70 mmHg and A-aDO2 &gt;=45 mmHg; 67.3% received invasive MV (Methods/Results)</t>
  </si>
  <si>
    <t>Three-arm regimen comparison with per-arm in-hospital mortality and MV counts</t>
  </si>
  <si>
    <t>LIKELY DUPLICATE of Qi2025 (file 'Qi et al. - 2025 - Analysis of risk factors associated with in-hospital mortality in severe HIV-negative PCP patients'): identical title, same first author (Qi Yanmeng), same institution (Peking Union Medical College Hospital), same n=165 severe HIV-negative PCP cohort. Treat as one study - deduplicate against Qi2025 at reconciliation. DISCREPANCY: abstract states G3 (TMP/SMZ+clindamycin) n=45 (27.6%), but body text and Table 4 give n=49 (30.1%); Table 4 total 163. G3 n=49 used here per Table 4.</t>
  </si>
  <si>
    <t>Zhang2018</t>
  </si>
  <si>
    <t>Zhang</t>
  </si>
  <si>
    <t>Zhang2018 (Review_PDFs)</t>
  </si>
  <si>
    <t>10.3892/etm.2017.5516</t>
  </si>
  <si>
    <t>Multi-centre (2-3 hospitals)</t>
  </si>
  <si>
    <t>2016-03</t>
  </si>
  <si>
    <t>2017-02</t>
  </si>
  <si>
    <t>autoimmune diseases (35.7%), hematological diseases (21.4%), CKD (14.3%), solid tumor (14.3%)</t>
  </si>
  <si>
    <t>positive PCR (mtLSUrRNA) and/or Grocott methenamine silver stain on BALF/sputum/tracheal aspirate (Methods)</t>
  </si>
  <si>
    <t>All 14 received caspofungin + TMP/SMZ; compared as FIRST-line (n=9) vs SECOND-line/salvage (n=5); all received adjunctive corticosteroids; also pooled with 13 literature cases (n=27)</t>
  </si>
  <si>
    <t>TMP-SMX + caspofungin (first-line); TMP-SMX + caspofungin (second-line/salvage)</t>
  </si>
  <si>
    <t>PaO2/FiO2 / APACHE II (severe PCP)</t>
  </si>
  <si>
    <t>all severe PCP (PaO2&lt;60 or A-aDO2&gt;=45); PaO2/FiO2 146.56, APACHE II 16.64; 64.3% invasive MV (Results/Table II)</t>
  </si>
  <si>
    <t>Both arms are the same regimen (TMP-SMX + caspofungin); comparison is TIMING (first-line vs salvage), not regimen vs monotherapy. No TMP-SMX-alone comparator. Useful for first-line vs salvage sensitivity analysis</t>
  </si>
  <si>
    <t>Small (n=14) single-institution study comparing caspofungin+TMP-SMX as first-line vs second-line. Primary endpoint all-cause in-hospital mortality; secondary positive response. Pooled analysis with literature (n=27) also reported. Task-flagged as caspofungin+TMP-SMX first-line study.</t>
  </si>
  <si>
    <t>2  Arms &amp; covariates</t>
  </si>
  <si>
    <t>Arm label</t>
  </si>
  <si>
    <t>Drug / regimen name</t>
  </si>
  <si>
    <t>Treatment node</t>
  </si>
  <si>
    <t>Arm N</t>
  </si>
  <si>
    <t>Dose regimen</t>
  </si>
  <si>
    <t>Route</t>
  </si>
  <si>
    <t>Median duration (d)</t>
  </si>
  <si>
    <t>Time admission-&gt;treatment (d)</t>
  </si>
  <si>
    <t>% on adjunctive corticosteroids</t>
  </si>
  <si>
    <t>Corticosteroid regimen (verbatim)</t>
  </si>
  <si>
    <t>% mechanical ventilation at baseline</t>
  </si>
  <si>
    <t>Baseline PaO2 mean/median</t>
  </si>
  <si>
    <t>Baseline A-a gradient</t>
  </si>
  <si>
    <t>Baseline beta-D-glucan (value+units)</t>
  </si>
  <si>
    <t>% HIV-positive</t>
  </si>
  <si>
    <t>% solid-organ transplant</t>
  </si>
  <si>
    <t>% haematological malignancy</t>
  </si>
  <si>
    <t>Median age</t>
  </si>
  <si>
    <t>% male</t>
  </si>
  <si>
    <t>Extraction note</t>
  </si>
  <si>
    <t>Page / table ref</t>
  </si>
  <si>
    <t>Combination arm</t>
  </si>
  <si>
    <t>59</t>
  </si>
  <si>
    <t>TMP-SMX 15-20 mg/kg/d + caspofungin 50 mg/d</t>
  </si>
  <si>
    <t>IV then PO</t>
  </si>
  <si>
    <t>21</t>
  </si>
  <si>
    <t>2</t>
  </si>
  <si>
    <t>61</t>
  </si>
  <si>
    <t>Methylprednisolone 1 mg/kg tapering (p.4)</t>
  </si>
  <si>
    <t>PaO2 68 mmHg (p.4)</t>
  </si>
  <si>
    <t>-</t>
  </si>
  <si>
    <t>285 pg/mL (Fungitell) (p.5)</t>
  </si>
  <si>
    <t>0</t>
  </si>
  <si>
    <t>44</t>
  </si>
  <si>
    <t>39</t>
  </si>
  <si>
    <t>57</t>
  </si>
  <si>
    <t>Example row</t>
  </si>
  <si>
    <t>Table 1-2</t>
  </si>
  <si>
    <t>EACST</t>
  </si>
  <si>
    <t>TMP-SMX (94%) + early adjunctive corticosteroids (within 48h)</t>
  </si>
  <si>
    <t>58</t>
  </si>
  <si>
    <t>corticosteroid doses expressed as daily prednisone equivalents; anti-PCP TMP-SMX first line</t>
  </si>
  <si>
    <t>IV/PO</t>
  </si>
  <si>
    <t>anti-PCP median 20 [19-21]</t>
  </si>
  <si>
    <t>1 [0-2] from suspicion</t>
  </si>
  <si>
    <t>100</t>
  </si>
  <si>
    <t>variable, prednisone-equivalent; started &lt;48h of anti-PCP</t>
  </si>
  <si>
    <t>EACST delivered in ICU for 31/58 (53%) and ward for 27 (47%)</t>
  </si>
  <si>
    <t>Results/Table 1</t>
  </si>
  <si>
    <t>No or late corticosteroids</t>
  </si>
  <si>
    <t>TMP-SMX (94%), no or late (&gt;48h) corticosteroids</t>
  </si>
  <si>
    <t>40</t>
  </si>
  <si>
    <t>late or none (88 total received steroids during stay; 58 early, 30 late)</t>
  </si>
  <si>
    <t>75 (56%) had no or late adjunctive corticosteroids</t>
  </si>
  <si>
    <t>Results Fig 1</t>
  </si>
  <si>
    <t>Whole cohort (older non-HIV PCP)</t>
  </si>
  <si>
    <t>Cotrimoxazole (92.6%) / atovaquone (7.4%) +/- corticosteroids</t>
  </si>
  <si>
    <t>cotrimoxazole median daily 1440 mg trimethoprim [960-4800]; atovaquone 1500 mg/d</t>
  </si>
  <si>
    <t>66.6</t>
  </si>
  <si>
    <t>corticosteroid dosage median 0.74-0.81 mg/kg/day (survivors vs died)</t>
  </si>
  <si>
    <t>14.5</t>
  </si>
  <si>
    <t>68 mmHg [57-82]</t>
  </si>
  <si>
    <t>354 pg/mL (n=27)</t>
  </si>
  <si>
    <t>7.4</t>
  </si>
  <si>
    <t>35.8</t>
  </si>
  <si>
    <t>79</t>
  </si>
  <si>
    <t>57.4</t>
  </si>
  <si>
    <t>Echinocandin + clindamycin cohort</t>
  </si>
  <si>
    <t>caspofungin (or anidulafungin) + clindamycin, co-trimoxazole-free</t>
  </si>
  <si>
    <t>caspofungin 70 mg/d load then 50 mg/d IV; anidulafungin 200 mg load then 100 mg/d IV; clindamycin 600 mg IV q8h</t>
  </si>
  <si>
    <t>IV</t>
  </si>
  <si>
    <t>14 [11-21]</t>
  </si>
  <si>
    <t>methylprednisolone 40 mg q12h descending every 5 days (all but one patient)</t>
  </si>
  <si>
    <t>11.26 pg/mL median (6/7 positive)</t>
  </si>
  <si>
    <t>64</t>
  </si>
  <si>
    <t>68</t>
  </si>
  <si>
    <t>60</t>
  </si>
  <si>
    <t>2/14 on invasive mechanical ventilation at presentation</t>
  </si>
  <si>
    <t>Whole cohort (proven/probable PcP)</t>
  </si>
  <si>
    <t>TMP-SMX (92.1%) +/- atovaquone/pentamidine +/- adjunctive corticosteroids</t>
  </si>
  <si>
    <t>mean 0.2 (2.4) d from diagnosis</t>
  </si>
  <si>
    <t>adjuvant high-dose steroid for severe PcP (HIV-like regimen)</t>
  </si>
  <si>
    <t>22.7</t>
  </si>
  <si>
    <t>23.7</t>
  </si>
  <si>
    <t>21.4</t>
  </si>
  <si>
    <t>24.5</t>
  </si>
  <si>
    <t>58.2 mean</t>
  </si>
  <si>
    <t>63.6</t>
  </si>
  <si>
    <t>Whole cohort (PCP after lung transplant)</t>
  </si>
  <si>
    <t>TMP-SMX (78%) / atovaquone (20%) + steroids</t>
  </si>
  <si>
    <t>NR; curative TMP-SMX 14-21 d</t>
  </si>
  <si>
    <t>mean 21 (min 4, max 28)</t>
  </si>
  <si>
    <t>all on maintenance steroids; day 1-7 max median 40 mg prednisone equivalent; increased in 57%</t>
  </si>
  <si>
    <t>23</t>
  </si>
  <si>
    <t>53 mean</t>
  </si>
  <si>
    <t>CLAD in 1 patient</t>
  </si>
  <si>
    <t>Results/Table 1-2</t>
  </si>
  <si>
    <t>High SMX Cmax (&gt;100 ug/mL)</t>
  </si>
  <si>
    <t>low-dose TMP-SMX (SMX Cmax &gt;100 ug/mL); caspofungin in 14/37</t>
  </si>
  <si>
    <t>37</t>
  </si>
  <si>
    <t>SMX median daily 56.1 mg/kg [43.6-66.7]; median Cmax 145 ug/mL</t>
  </si>
  <si>
    <t>PO</t>
  </si>
  <si>
    <t>&gt;=48h treatment (inclusion)</t>
  </si>
  <si>
    <t>103.1 mmHg [81.6-136.7]</t>
  </si>
  <si>
    <t>81.8 pg/mL [28.7-315.4]</t>
  </si>
  <si>
    <t>concomitant caspofungin 14 (32.56%)</t>
  </si>
  <si>
    <t>Table 1</t>
  </si>
  <si>
    <t>Low SMX Cmax (&lt;=100 ug/mL)</t>
  </si>
  <si>
    <t>low-dose TMP-SMX (SMX Cmax &lt;=100 ug/mL); caspofungin in 4/29</t>
  </si>
  <si>
    <t>29</t>
  </si>
  <si>
    <t>SMX median daily 41.0 mg/kg [32.7-53.3]; median Cmax 76.5 ug/mL</t>
  </si>
  <si>
    <t>&gt;=48h treatment</t>
  </si>
  <si>
    <t>68.0 mmHg [57.5-107.9]</t>
  </si>
  <si>
    <t>75.1 pg/mL [25.7-231.2]</t>
  </si>
  <si>
    <t>67</t>
  </si>
  <si>
    <t>concomitant caspofungin 4 (17.39%)</t>
  </si>
  <si>
    <t>T group</t>
  </si>
  <si>
    <t>standard-dose TMP-SMX</t>
  </si>
  <si>
    <t>TMP 15 mg/kg/d (standard)</t>
  </si>
  <si>
    <t>methylprednisolone 2.0-2.5 mg/kg/day q12h then taper</t>
  </si>
  <si>
    <t>146.0 (P/F ratio)</t>
  </si>
  <si>
    <t>265.0 pg/mL</t>
  </si>
  <si>
    <t>48.5 mean</t>
  </si>
  <si>
    <t>80</t>
  </si>
  <si>
    <t>HFNC 8 (80%) on admission</t>
  </si>
  <si>
    <t>CT group</t>
  </si>
  <si>
    <t>clindamycin + low-dose TMP-SMX</t>
  </si>
  <si>
    <t>Combination (other, specify): clindamycin + low-dose TMP-SMX</t>
  </si>
  <si>
    <t>clindamycin 600-900 mg IV/PO q6-8h + TMP 8 mg/kg/d initial (escalated)</t>
  </si>
  <si>
    <t>148.5 (P/F ratio)</t>
  </si>
  <si>
    <t>207.0 pg/mL</t>
  </si>
  <si>
    <t>40.0 mean</t>
  </si>
  <si>
    <t>70</t>
  </si>
  <si>
    <t>HFNC 9 (90%) on admission</t>
  </si>
  <si>
    <t>ILD group</t>
  </si>
  <si>
    <t>TMP/SMX + adjunct corticosteroids</t>
  </si>
  <si>
    <t>32</t>
  </si>
  <si>
    <t>NR; high-dose steroid pulse in 46.9%</t>
  </si>
  <si>
    <t>8.0 (onset to therapy)</t>
  </si>
  <si>
    <t>adjunct corticosteroids; high-dose pulse in 15/32</t>
  </si>
  <si>
    <t>P/F 175.0 [107.0-289.5]</t>
  </si>
  <si>
    <t>78.4 pg/mL [28.5-281.8]</t>
  </si>
  <si>
    <t>6.3</t>
  </si>
  <si>
    <t>74.0</t>
  </si>
  <si>
    <t>68.8</t>
  </si>
  <si>
    <t>pre-existing ILD (IIPs 9, CTD-ILD 11, others); UIP pattern 34.4%</t>
  </si>
  <si>
    <t>non-ILD group</t>
  </si>
  <si>
    <t>42</t>
  </si>
  <si>
    <t>NR; high-dose steroid pulse in 9.5%</t>
  </si>
  <si>
    <t>10.3</t>
  </si>
  <si>
    <t>adjunct corticosteroids; high-dose pulse in ~4/42</t>
  </si>
  <si>
    <t>P/F 251.5 [180.0-301.0]</t>
  </si>
  <si>
    <t>86.7 pg/mL [46.8-240.0]</t>
  </si>
  <si>
    <t>14.3</t>
  </si>
  <si>
    <t>68.0</t>
  </si>
  <si>
    <t>64.3</t>
  </si>
  <si>
    <t>no pre-existing ILD</t>
  </si>
  <si>
    <t>No AGT</t>
  </si>
  <si>
    <t>TMP-SMX (or alternative anti-PJP) without adjunctive glucocorticoid</t>
  </si>
  <si>
    <t>TMP-SMX 90.1% overall; duration median 21 (8-21) d</t>
  </si>
  <si>
    <t>None (adjunctive)</t>
  </si>
  <si>
    <t>69.2</t>
  </si>
  <si>
    <t>TMP-SMX in 31/39 (79.5%); atovaquone 15/39; primaquine-clindamycin 8/39</t>
  </si>
  <si>
    <t>Table 4</t>
  </si>
  <si>
    <t>AGT</t>
  </si>
  <si>
    <t>TMP-SMX (or alternative) plus adjunctive glucocorticoid</t>
  </si>
  <si>
    <t>Prednisone total median 10.6 (8-13.3) mg/kg, duration 21 (15-21) d; 21-day protocol in 67/133</t>
  </si>
  <si>
    <t>Prednisone (124), methylprednisolone (17), hydrocortisone (9), dexamethasone (1)</t>
  </si>
  <si>
    <t>65.4</t>
  </si>
  <si>
    <t>TMP-SMX in 123/133 (92.5%)</t>
  </si>
  <si>
    <t>Case (caspofungin + TMP/SMX + MP)</t>
  </si>
  <si>
    <t>Caspofungin + TMP/SMX + methylprednisolone</t>
  </si>
  <si>
    <t>Caspofungin 70 mg load then 50 mg/d; TMP 16 mg/kg/d + SMX 80 mg/kg/d divided q6h; methylprednisolone 40 mg IV BID tapered to 60 mg/d after 1 wk</t>
  </si>
  <si>
    <t>48</t>
  </si>
  <si>
    <t>Methylprednisolone 40 mg IV BID -&gt; 60 mg/d</t>
  </si>
  <si>
    <t>55 mmHg</t>
  </si>
  <si>
    <t>Refractory after 3 weeks conventional therapy; cleared after 48 days</t>
  </si>
  <si>
    <t>Case History/Treatment</t>
  </si>
  <si>
    <t>Whole PJP cohort</t>
  </si>
  <si>
    <t>TMP-SMX (treatment of choice); primaquine-clindamycin alternative</t>
  </si>
  <si>
    <t>TMP 15-20 mg/kg + SMX 75-100 mg/kg; treatment ~3 wk (Methods)</t>
  </si>
  <si>
    <t>8</t>
  </si>
  <si>
    <t>Corticosteroids not routinely included in treatment protocol; 40.3% on baseline glucocorticoids at diagnosis</t>
  </si>
  <si>
    <t>61.1</t>
  </si>
  <si>
    <t>Median time symptom onset to therapy 8 d (n=67)</t>
  </si>
  <si>
    <t>Table 1 / Results</t>
  </si>
  <si>
    <t>Monotherapy</t>
  </si>
  <si>
    <t>TMP/SMX monotherapy</t>
  </si>
  <si>
    <t>91</t>
  </si>
  <si>
    <t>21-day TMP/SMX per international guidelines</t>
  </si>
  <si>
    <t>9</t>
  </si>
  <si>
    <t>Adjuvant methylprednisolone or prednisone (all moderate-severe patients)</t>
  </si>
  <si>
    <t>52 (46-60) mmHg</t>
  </si>
  <si>
    <t>58 (51-66) mmHg</t>
  </si>
  <si>
    <t>527 (221-1185) pg/mL</t>
  </si>
  <si>
    <t>4</t>
  </si>
  <si>
    <t>Baseline stats for whole cohort; per-arm baseline BDG from Table 3</t>
  </si>
  <si>
    <t>Methods / Table 3</t>
  </si>
  <si>
    <t>Combination therapy</t>
  </si>
  <si>
    <t>Caspofungin + TMP/SMX</t>
  </si>
  <si>
    <t>35</t>
  </si>
  <si>
    <t>Caspofungin 70 mg day 1 then 50 mg/d + TMP/SMX</t>
  </si>
  <si>
    <t>IV (caspofungin)</t>
  </si>
  <si>
    <t>Adjuvant methylprednisolone or prednisone</t>
  </si>
  <si>
    <t>54</t>
  </si>
  <si>
    <t>834 (271-2003) pg/mL</t>
  </si>
  <si>
    <t>Combination chosen for more severe patients (authors note confounding)</t>
  </si>
  <si>
    <t>With adjunctive steroids</t>
  </si>
  <si>
    <t>TMP-SMX + adjunctive corticosteroid</t>
  </si>
  <si>
    <t>251</t>
  </si>
  <si>
    <t>Trimethoprim 12.3 mg/kg/d; steroid methylprednisolone-equivalent, within 24h</t>
  </si>
  <si>
    <t>Various glucocorticoids (methylprednisolone-equivalent)</t>
  </si>
  <si>
    <t>183.3 (PaO2/FiO2)</t>
  </si>
  <si>
    <t>62.8 (mean)</t>
  </si>
  <si>
    <t>61.4</t>
  </si>
  <si>
    <t>Shock 43.0%; autoimmune 24.3%</t>
  </si>
  <si>
    <t>Without adjunctive steroids</t>
  </si>
  <si>
    <t>TMP-SMX without adjunctive corticosteroid</t>
  </si>
  <si>
    <t>83</t>
  </si>
  <si>
    <t>Trimethoprim 10.8 mg/kg/d</t>
  </si>
  <si>
    <t>290.3 (PaO2/FiO2)</t>
  </si>
  <si>
    <t>63.2 (mean)</t>
  </si>
  <si>
    <t>60.2</t>
  </si>
  <si>
    <t>Shock 25.3%</t>
  </si>
  <si>
    <t>Non-HIV PCP</t>
  </si>
  <si>
    <t>TMP-SMX (34/44); atovaquone (8); pentamidine (1)</t>
  </si>
  <si>
    <t>Adjunctive corticosteroid</t>
  </si>
  <si>
    <t>30.5 (7.1-83.0) pg/mL</t>
  </si>
  <si>
    <t>27</t>
  </si>
  <si>
    <t>56.8</t>
  </si>
  <si>
    <t>Initial TMP-SMX 34/44 (77.3%)</t>
  </si>
  <si>
    <t>HIV PCP</t>
  </si>
  <si>
    <t>TMP-SMX (29/31); atovaquone (1)</t>
  </si>
  <si>
    <t>31</t>
  </si>
  <si>
    <t>45.2</t>
  </si>
  <si>
    <t>107.1 (50.5-200) pg/mL</t>
  </si>
  <si>
    <t>96.8</t>
  </si>
  <si>
    <t>Initial TMP-SMX 29/31 (93.5%)</t>
  </si>
  <si>
    <t>Whole cohort (severe non-HIV PCP, ICU)</t>
  </si>
  <si>
    <t>TMP-SMX + adjunctive corticosteroid (all); salvage clindamycin-primaquine or pentamidine in failures</t>
  </si>
  <si>
    <t>TMP 20 mg/kg/d + SMZ 100 mg/kg/d; adjunctive steroid &gt;=40 mg prednisone BID x5 d</t>
  </si>
  <si>
    <t>2.4 (median 58h)</t>
  </si>
  <si>
    <t>98</t>
  </si>
  <si>
    <t>Prednisolone-equivalent; &gt;=40 mg prednisone BID x5 d</t>
  </si>
  <si>
    <t>84.3</t>
  </si>
  <si>
    <t>137.2 (PF ratio)</t>
  </si>
  <si>
    <t>39.9 mmHg</t>
  </si>
  <si>
    <t>35.3</t>
  </si>
  <si>
    <t>52</t>
  </si>
  <si>
    <t>68.6</t>
  </si>
  <si>
    <t>All required MV (43) or HFNC (8)</t>
  </si>
  <si>
    <t>Table 1 / Table 2</t>
  </si>
  <si>
    <t>PQ-CLDM salvage cohort</t>
  </si>
  <si>
    <t>Primaquine + clindamycin (salvage)</t>
  </si>
  <si>
    <t>PQ 15-30 mg/day + CLDM 900 mg/day PO or 1200-2400 mg/day IV; median PQ 0.46 mg/kg/d, CLDM 31.0 mg/kg/d (n=15); median duration 13 d</t>
  </si>
  <si>
    <t>PO or IV</t>
  </si>
  <si>
    <t>13</t>
  </si>
  <si>
    <t>NR (baseline immunosuppression in some; not systematically reported)</t>
  </si>
  <si>
    <t>55.6</t>
  </si>
  <si>
    <t>16/18 (84%) had &gt;10 days since PCP onset before PQ-CLDM; prior TMP-SMX 17/18, pentamidine 17/18, atovaquone 9</t>
  </si>
  <si>
    <t>Placebo group</t>
  </si>
  <si>
    <t>IV isotonic saline (placebo) + anti-Pneumocystis antibiotherapy</t>
  </si>
  <si>
    <t>Other (specify): anti-PCP antibiotherapy + placebo</t>
  </si>
  <si>
    <t>111</t>
  </si>
  <si>
    <t>2 or 3 mL saline in 250 mL over 1h, same schedule as corticosteroid arm</t>
  </si>
  <si>
    <t>11 (range 6-20)</t>
  </si>
  <si>
    <t>3 (IQR 2-5) antibiotic onset to randomisation</t>
  </si>
  <si>
    <t>50</t>
  </si>
  <si>
    <t>55/111 (50%) on previous long-term corticosteroid &lt;1 mg/kg/d (background)</t>
  </si>
  <si>
    <t>34</t>
  </si>
  <si>
    <t>FiO2 at randomisation 50 (40-67); 90 (81%) receiving &gt;=6 L/min O2</t>
  </si>
  <si>
    <t>Table 1/Table 2</t>
  </si>
  <si>
    <t>Corticosteroid group</t>
  </si>
  <si>
    <t>IV methylprednisolone (30 mg bid days 1-5, 30 mg od days 6-10, 20 mg od to day 21) + anti-Pneumocystis antibiotherapy</t>
  </si>
  <si>
    <t>Other (specify): anti-PCP antibiotherapy + adjunctive methylprednisolone</t>
  </si>
  <si>
    <t>107</t>
  </si>
  <si>
    <t>methylprednisolone 30 mg bid then taper to 20 mg od until day 21</t>
  </si>
  <si>
    <t>13 (range 7-20)</t>
  </si>
  <si>
    <t>3 (IQR 2-5) PCP diagnosis to corticosteroid initiation</t>
  </si>
  <si>
    <t>methylprednisolone 30 mg bid tapering; 51/107 (48%) also on previous long-term corticosteroid</t>
  </si>
  <si>
    <t>55</t>
  </si>
  <si>
    <t>FiO2 at randomisation 45 (35-60); 84 (79%) receiving &gt;=6 L/min O2</t>
  </si>
  <si>
    <t>ST group</t>
  </si>
  <si>
    <t>SMX-TMP + caspofungin + methylprednisolone</t>
  </si>
  <si>
    <t>TMP 15-20 mg/kg/d; caspofungin 70 mg load then 50 mg/d; methylprednisolone 40-80 mg/d (mean 0.96±0.46 mg/kg/d)</t>
  </si>
  <si>
    <t>caspofungin 20.65±8.94 d; MP 6.71±2.57 d</t>
  </si>
  <si>
    <t>methylprednisolone 40-80 mg/d for 3-14 days</t>
  </si>
  <si>
    <t>207.7 (121.95-319.79) pg/mL</t>
  </si>
  <si>
    <t>54.0 (40.25-62)</t>
  </si>
  <si>
    <t>65</t>
  </si>
  <si>
    <t>PaO2/FiO2 181.75 (83.63-225.88); APACHE II 19; SOFA 7</t>
  </si>
  <si>
    <t>Table 1/Table 3</t>
  </si>
  <si>
    <t>MT group</t>
  </si>
  <si>
    <t>SMX-TMP monotherapy</t>
  </si>
  <si>
    <t>TMP 15-20 mg/kg/d (mean 18.35 mg/kg/d)</t>
  </si>
  <si>
    <t>not part of MT regimen (some on long-term prednisone for underlying disease)</t>
  </si>
  <si>
    <t>184.42 (111.60-267.78) pg/mL</t>
  </si>
  <si>
    <t>11.11</t>
  </si>
  <si>
    <t>46.0 (36.50-56.75)</t>
  </si>
  <si>
    <t>66.7</t>
  </si>
  <si>
    <t>PaO2/FiO2 224.35 (163.75-240.11)</t>
  </si>
  <si>
    <t>Whole cohort (non-HIV PCP with RF)</t>
  </si>
  <si>
    <t>TMP-SMX-based; caspofungin in 66/146 (45.2%); second-line in 31/146</t>
  </si>
  <si>
    <t>Monotherapy (pooled)</t>
  </si>
  <si>
    <t>TMP-SMZ &gt;=15 mg/kg/d in 123/146; caspofungin variable</t>
  </si>
  <si>
    <t>time visit-to-sulfonamide median 2-3 d</t>
  </si>
  <si>
    <t>corticosteroid therapy during PCP: &gt;=1 mg/kg/d in 56/136 reported; 94.5% prior corticosteroid use</t>
  </si>
  <si>
    <t>G-test overall NR; non-survivor 230 vs survivor 139.1</t>
  </si>
  <si>
    <t>8.2</t>
  </si>
  <si>
    <t>7.6</t>
  </si>
  <si>
    <t>59 (45.8-66)</t>
  </si>
  <si>
    <t>67.1</t>
  </si>
  <si>
    <t>Invasive MV 56/146; ICU 83/146</t>
  </si>
  <si>
    <t>Results/Table 1/Table 4</t>
  </si>
  <si>
    <t>Standard-dose steroid group</t>
  </si>
  <si>
    <t>TMP-SMX + standard-dose methylprednisolone</t>
  </si>
  <si>
    <t>Other (specify): TMP-SMX + standard-dose methylprednisolone</t>
  </si>
  <si>
    <t>methylprednisolone 40 mg bid x5d, then 40 mg od x5d, tapered to 20 mg/d over 11d (21d course)</t>
  </si>
  <si>
    <t>2 (1-3)</t>
  </si>
  <si>
    <t>standard-dose methylprednisolone; 87.5% on prior corticosteroids</t>
  </si>
  <si>
    <t>25</t>
  </si>
  <si>
    <t>82 (65-98)</t>
  </si>
  <si>
    <t>33.3</t>
  </si>
  <si>
    <t>12.5</t>
  </si>
  <si>
    <t>50.5 (mean)</t>
  </si>
  <si>
    <t>PFR 144 (104-174) mmHg</t>
  </si>
  <si>
    <t>Low-dose steroid group</t>
  </si>
  <si>
    <t>TMP-SMX + low-dose methylprednisolone (&lt;40 mg/day)</t>
  </si>
  <si>
    <t>Other (specify): TMP-SMX + low-dose methylprednisolone</t>
  </si>
  <si>
    <t>methylprednisolone &lt;40 mg/day</t>
  </si>
  <si>
    <t>1 (1-3)</t>
  </si>
  <si>
    <t>low-dose methylprednisolone; 71.2% on prior corticosteroids</t>
  </si>
  <si>
    <t>15.8</t>
  </si>
  <si>
    <t>84 (63-97)</t>
  </si>
  <si>
    <t>28.1</t>
  </si>
  <si>
    <t>22.8</t>
  </si>
  <si>
    <t>55.5 (mean)</t>
  </si>
  <si>
    <t>PFR 143 (108-200) mmHg</t>
  </si>
  <si>
    <t>Non-HIV PCP cohort</t>
  </si>
  <si>
    <t>TMP-SMX (71/84) or echinocandin (12/84) antifungal; adjunctive steroid 69/84</t>
  </si>
  <si>
    <t>symptom onset to treatment 7d (1-61); radiographic to treatment 4d</t>
  </si>
  <si>
    <t>82.4</t>
  </si>
  <si>
    <t>adjunctive steroid 69/84 (high dose &gt;=1 mg/kg/d 43/84; low dose &lt;1 mg/kg/d 26/84)</t>
  </si>
  <si>
    <t>NR (qPCR Ct used)</t>
  </si>
  <si>
    <t>6.4 (whole 109-cohort)</t>
  </si>
  <si>
    <t>56</t>
  </si>
  <si>
    <t>TMP-SMX 71/84 (85.5%), echinocandin 12/84 (14.5%)</t>
  </si>
  <si>
    <t>Table 1/Results</t>
  </si>
  <si>
    <t>First-line TMP-SMX</t>
  </si>
  <si>
    <t>Trimethoprim/sulfamethoxazole</t>
  </si>
  <si>
    <t>15-20 mg/kg/d TMP equivalent in 3-4 doses, 21 days if responding</t>
  </si>
  <si>
    <t>PO/IV</t>
  </si>
  <si>
    <t>adjunctive corticosteroids 40-80 mg/d for severe infection</t>
  </si>
  <si>
    <t>failure 571 vs success 750 pg/ml (median, IQR)</t>
  </si>
  <si>
    <t>6.4 (failure group)</t>
  </si>
  <si>
    <t>55 (failure) / 50 (success)</t>
  </si>
  <si>
    <t>127/220 (57.73%) did not respond to first-line TMP-SMX</t>
  </si>
  <si>
    <t>Clindamycin (C)</t>
  </si>
  <si>
    <t>Clindamycin 1200 mg IV bid</t>
  </si>
  <si>
    <t>Other (specify): Clindamycin monotherapy (second-line)</t>
  </si>
  <si>
    <t>clindamycin 1200 mg IV bid</t>
  </si>
  <si>
    <t>TMP/SMX to 2nd-line variable</t>
  </si>
  <si>
    <t>adjunctive corticosteroids for severe cases</t>
  </si>
  <si>
    <t>second-line after TMP-SMX failure</t>
  </si>
  <si>
    <t>Results/Fig 1</t>
  </si>
  <si>
    <t>Clindamycin+primaquine (C-P)</t>
  </si>
  <si>
    <t>Clindamycin 600 mg PO tid + primaquine 30 mg PO od</t>
  </si>
  <si>
    <t>clindamycin 600 mg PO tid + primaquine 30 mg PO od</t>
  </si>
  <si>
    <t>lowest in-hospital mortality (22.2%)</t>
  </si>
  <si>
    <t>Clindamycin+caspofungin (C-Ca)</t>
  </si>
  <si>
    <t>Clindamycin 1200 mg IV bid + caspofungin 50 mg IV od</t>
  </si>
  <si>
    <t>Combination (other, specify): Clindamycin + caspofungin</t>
  </si>
  <si>
    <t>clindamycin 1200 mg IV bid + caspofungin 50 mg IV od</t>
  </si>
  <si>
    <t>caspofungin group 799.6 pg/ml (mean) vs non-caspofungin 1368.3</t>
  </si>
  <si>
    <t>Results/Fig 1/Table 4</t>
  </si>
  <si>
    <t>Clindamycin+primaquine+caspofungin (C-P-Ca)</t>
  </si>
  <si>
    <t>Clindamycin 1200 mg IV bid + primaquine 30 mg PO od + caspofungin 50 mg IV od</t>
  </si>
  <si>
    <t>Combination (other, specify): Clindamycin + primaquine + caspofungin</t>
  </si>
  <si>
    <t>clindamycin 1200 mg IV bid + primaquine 30 mg PO od + caspofungin 50 mg IV od</t>
  </si>
  <si>
    <t>highest in-hospital mortality among second-line (66.7%)</t>
  </si>
  <si>
    <t>TMP-SMZ alone</t>
  </si>
  <si>
    <t>Trimethoprim-sulfamethoxazole</t>
  </si>
  <si>
    <t>6</t>
  </si>
  <si>
    <t>mean TMP 11.4 mg/kg/d (cohort)</t>
  </si>
  <si>
    <t>median 15 (6-34) cohort</t>
  </si>
  <si>
    <t>100 (background prednisolone)</t>
  </si>
  <si>
    <t>prednisolone as maintenance immunosuppression</t>
  </si>
  <si>
    <t>185 mmHg (PaO2/FiO2 day 6)</t>
  </si>
  <si>
    <t>heart transplant recipients</t>
  </si>
  <si>
    <t>TMP-SMZ + echinocandin</t>
  </si>
  <si>
    <t>TMP-SMZ + echinocandin (anidulafungin x4, caspofungin x1)</t>
  </si>
  <si>
    <t>TMP-SMX + echinocandin (any)</t>
  </si>
  <si>
    <t>anidulafungin 200 mg load then 100 mg/d; caspofungin 70 mg then 50 mg/d</t>
  </si>
  <si>
    <t>echinocandin median 15 (6-19)</t>
  </si>
  <si>
    <t>211 mmHg (PaO2/FiO2 day 6)</t>
  </si>
  <si>
    <t>PaO2/FiO2 day 9: 413 (combo) vs 224 (alone)</t>
  </si>
  <si>
    <t>Paediatric malignancy PJP cohort</t>
  </si>
  <si>
    <t>TMP-SMX (100%) + caspofungin (9/10); 1 patient TMP-SMX mono</t>
  </si>
  <si>
    <t>TMP-SMX (one patient 100 mg/kg/d); caspofungin added in 9; treatment ~3 weeks</t>
  </si>
  <si>
    <t>~21</t>
  </si>
  <si>
    <t>start D4-D9 from onset (Table 3)</t>
  </si>
  <si>
    <t>adjunctive corticosteroids (new or increased) in 4/10</t>
  </si>
  <si>
    <t>elevated in 7/10; per-patient range 23.9-11096.2 pg/mL</t>
  </si>
  <si>
    <t>80 (leukaemia/lymphoma)</t>
  </si>
  <si>
    <t>6.5 years</t>
  </si>
  <si>
    <t>8/10 PICU; 4/10 invasive MV; 1 ECMO</t>
  </si>
  <si>
    <t>Results/Table 1/Table 3</t>
  </si>
  <si>
    <t>HIV-negative, adjuvant corticosteroids</t>
  </si>
  <si>
    <t>TMP-SMX (mostly) + corticosteroids</t>
  </si>
  <si>
    <t>adjuvant corticosteroids (agent/dose NR for subgroup)</t>
  </si>
  <si>
    <t>20 of 28 HIV-negative received corticosteroids (71.43%)</t>
  </si>
  <si>
    <t>Results/Table 1A</t>
  </si>
  <si>
    <t>HIV-negative, no corticosteroids</t>
  </si>
  <si>
    <t>TMP-SMX (mostly), no corticosteroids</t>
  </si>
  <si>
    <t>NA</t>
  </si>
  <si>
    <t>8 of 28 HIV-negative did not receive corticosteroids</t>
  </si>
  <si>
    <t>Results</t>
  </si>
  <si>
    <t>Low-dose TMP-SMX</t>
  </si>
  <si>
    <t>Trimethoprim-sulfamethoxazole (low dose)</t>
  </si>
  <si>
    <t>TMP 8.71 +/- 2.50 mg/kg/d (TMP &lt;12.5 mg/kg/d)</t>
  </si>
  <si>
    <t>14-21 (target)</t>
  </si>
  <si>
    <t>adjunctive glucocorticoid (mild-to-moderate or pulse) in subset</t>
  </si>
  <si>
    <t>5.5</t>
  </si>
  <si>
    <t>70.95</t>
  </si>
  <si>
    <t>50.9</t>
  </si>
  <si>
    <t>connective tissue disease 81.8%; without oxygen 50.9%</t>
  </si>
  <si>
    <t>Conventional-dose TMP-SMX</t>
  </si>
  <si>
    <t>Trimethoprim-sulfamethoxazole (conventional dose)</t>
  </si>
  <si>
    <t>81</t>
  </si>
  <si>
    <t>TMP 17.78 +/- 4.80 mg/kg/d (TMP 12.5-20 mg/kg/d)</t>
  </si>
  <si>
    <t>12.3</t>
  </si>
  <si>
    <t>70.59</t>
  </si>
  <si>
    <t>40.7</t>
  </si>
  <si>
    <t>connective tissue disease 66.7%</t>
  </si>
  <si>
    <t>24</t>
  </si>
  <si>
    <t>TMP 4-10 mg/kg/d (median 6.6); SMX 20-50 mg/kg/d (median 33.0)</t>
  </si>
  <si>
    <t>Oral 83.3% / IV</t>
  </si>
  <si>
    <t>17 (median, IQR 14-20)</t>
  </si>
  <si>
    <t>95.8</t>
  </si>
  <si>
    <t>PSL 10-75 mg/d (45.8%), PSL 80-156 mg/d (16.7%), mPSL 500-1000 mg/d (33.3%)</t>
  </si>
  <si>
    <t>54.2</t>
  </si>
  <si>
    <t>connective tissue disease 66.7%; NPPV 8.3%, none intubated</t>
  </si>
  <si>
    <t>Table 1/Table 4</t>
  </si>
  <si>
    <t>TMP 10-20 mg/kg/d (median 14.1); SMX 50-100 mg/kg/d (median 70.6)</t>
  </si>
  <si>
    <t>IV 55.2% / oral</t>
  </si>
  <si>
    <t>12 (median, IQR 9-17)</t>
  </si>
  <si>
    <t>89.7</t>
  </si>
  <si>
    <t>PSL 10-75 mg/d (34.5%), PSL 80-156 mg/d (31.0%), mPSL 500-1000 mg/d (24.1%)</t>
  </si>
  <si>
    <t>13.8</t>
  </si>
  <si>
    <t>27.6</t>
  </si>
  <si>
    <t>73</t>
  </si>
  <si>
    <t>72.4</t>
  </si>
  <si>
    <t>reference group; 4 intubated with mechanical ventilation</t>
  </si>
  <si>
    <t>Whole PJP cohort (SOT)</t>
  </si>
  <si>
    <t>TMP-SMX (85.4%); clindamycin-primaquine (12.2%); pentamidine (2.4%)</t>
  </si>
  <si>
    <t>IV then oral (TMP-SMX switched IV-&gt;oral in 11 pts)</t>
  </si>
  <si>
    <t>20.6 mean (median 21, range 5-34) for TMP-SMX</t>
  </si>
  <si>
    <t>73.5</t>
  </si>
  <si>
    <t>concomitant corticosteroids, mean duration 26.3 days (median 21)</t>
  </si>
  <si>
    <t>56.9 (mean)</t>
  </si>
  <si>
    <t>58.5</t>
  </si>
  <si>
    <t>whole cohort = one arm; mixed regimens, no comparison</t>
  </si>
  <si>
    <t>Results 3.3/Table 2</t>
  </si>
  <si>
    <t>Whole cohort (TMP-SMX + caspofungin)</t>
  </si>
  <si>
    <t>Trimethoprim-sulfamethoxazole + caspofungin</t>
  </si>
  <si>
    <t>IV (anti-infective)</t>
  </si>
  <si>
    <t>1-21 (per case: 19, 1, 20, 20, 21 days)</t>
  </si>
  <si>
    <t>3-11 (time from onset to treatment start)</t>
  </si>
  <si>
    <t>methylprednisolone in cases 1, 3, 4</t>
  </si>
  <si>
    <t>584.32/&lt;10/100.37/254.28/2470.6 pg/mL (cases 1-5)</t>
  </si>
  <si>
    <t>6 years</t>
  </si>
  <si>
    <t>all male; all mechanically ventilated</t>
  </si>
  <si>
    <t>Results 3.6/Table 1/Table 3</t>
  </si>
  <si>
    <t>Whole cohort (TMP-SMX +/- caspofungin)</t>
  </si>
  <si>
    <t>Trimethoprim-sulfamethoxazole (all); +/- caspofungin (13/18)</t>
  </si>
  <si>
    <t>13.39 +/- 9.36 mean</t>
  </si>
  <si>
    <t>4.44 +/- 4.3 (mean from admission)</t>
  </si>
  <si>
    <t>94.4</t>
  </si>
  <si>
    <t>high-dose glucocorticoids (therapeutic intent)</t>
  </si>
  <si>
    <t>72.2</t>
  </si>
  <si>
    <t>65 (mean, SD 13.9)</t>
  </si>
  <si>
    <t>77.8</t>
  </si>
  <si>
    <t>NIV used in some (4 C-PAP, 7 B-PAP); caspofungin subgroup n=13</t>
  </si>
  <si>
    <t>Results/Discussion</t>
  </si>
  <si>
    <t>Caspofungin subgroup (TMP-SMX + caspofungin)</t>
  </si>
  <si>
    <t>subgroup within cohort; adjunctive caspofungin</t>
  </si>
  <si>
    <t>Discussion (p.73)</t>
  </si>
  <si>
    <t>Whole cohort (hypoxemic non-HIV PCP)</t>
  </si>
  <si>
    <t>TMP-SMX (79.7%); atovaquone; clindamycin-primaquine; pentamidine; +/- corticosteroids</t>
  </si>
  <si>
    <t>steroid median 21-d mean daily 37.5 mg prednisone-equiv (IQR 15-60)</t>
  </si>
  <si>
    <t>modeled over 21 days</t>
  </si>
  <si>
    <t>93.6</t>
  </si>
  <si>
    <t>cumulative prednisone-equivalent dose (continuous); 207/375 (55.2%) on long-term steroids pre-PCP</t>
  </si>
  <si>
    <t>15.7</t>
  </si>
  <si>
    <t>13.9</t>
  </si>
  <si>
    <t>30.1</t>
  </si>
  <si>
    <t>66 (IQR 57-74)</t>
  </si>
  <si>
    <t>58.7</t>
  </si>
  <si>
    <t>ICU admission 56.3%; nasal cannula 54.9%, HFNC 22.1%, NIV 7.2%, IMV/ECMO 15.7% at treatment start</t>
  </si>
  <si>
    <t>Group 1: TMP-SMZ monotherapy</t>
  </si>
  <si>
    <t>Trimethoprim-sulfamethoxazole (monotherapy)</t>
  </si>
  <si>
    <t>15.7 +/- 6.2 (TMP/SMZ)</t>
  </si>
  <si>
    <t>8.0 (median, symptom onset to treatment)</t>
  </si>
  <si>
    <t>71.4</t>
  </si>
  <si>
    <t>systemic glucocorticoids</t>
  </si>
  <si>
    <t>52.4</t>
  </si>
  <si>
    <t>PaO2/FiO2 118.9 +/- 54.4</t>
  </si>
  <si>
    <t>646.3 +/- 542.1 ng/l</t>
  </si>
  <si>
    <t>4.8</t>
  </si>
  <si>
    <t>58.4 (mean, SD 16.3)</t>
  </si>
  <si>
    <t>APACHE II 22.1; rheumatic disease 47.6%</t>
  </si>
  <si>
    <t>Group 2: initial caspofungin + TMP-SMZ</t>
  </si>
  <si>
    <t>Caspofungin + trimethoprim-sulfamethoxazole (first-line)</t>
  </si>
  <si>
    <t>43</t>
  </si>
  <si>
    <t>TMP/SMZ 13.8 +/- 6.7; caspofungin+TMP/SMZ 13.9 +/- 6.8</t>
  </si>
  <si>
    <t>7.0 (median, symptom onset to treatment)</t>
  </si>
  <si>
    <t>88.4</t>
  </si>
  <si>
    <t>32.6</t>
  </si>
  <si>
    <t>PaO2/FiO2 114.3 +/- 55.6</t>
  </si>
  <si>
    <t>956.2 +/- 850.8 ng/l</t>
  </si>
  <si>
    <t>6.9</t>
  </si>
  <si>
    <t>51.4 (mean, SD 14.3)</t>
  </si>
  <si>
    <t>27.9</t>
  </si>
  <si>
    <t>APACHE II 20.7; rheumatic disease 58.1%</t>
  </si>
  <si>
    <t>Group 3: TMP-SMZ then caspofungin salvage</t>
  </si>
  <si>
    <t>Trimethoprim-sulfamethoxazole then caspofungin salvage</t>
  </si>
  <si>
    <t>Combination (other, specify): TMP-SMX with caspofungin as salvage therapy</t>
  </si>
  <si>
    <t>TMP/SMZ 15.2 +/- 5.1; caspofungin+TMP/SMZ 10.9 +/- 5.3</t>
  </si>
  <si>
    <t>6.0 (median, symptom onset to treatment)</t>
  </si>
  <si>
    <t>86.2</t>
  </si>
  <si>
    <t>51.7</t>
  </si>
  <si>
    <t>PaO2/FiO2 106.9 +/- 49.4</t>
  </si>
  <si>
    <t>870.2 +/- 867.2 ng/l</t>
  </si>
  <si>
    <t>3.4</t>
  </si>
  <si>
    <t>56.4 (mean, SD 17.0)</t>
  </si>
  <si>
    <t>37.9</t>
  </si>
  <si>
    <t>APACHE II 22.3; rheumatic disease 58.6%</t>
  </si>
  <si>
    <t>Group1</t>
  </si>
  <si>
    <t>TMP/SMZ monotherapy</t>
  </si>
  <si>
    <t>first-line TMP/SMZ (dose NR)</t>
  </si>
  <si>
    <t>54.4</t>
  </si>
  <si>
    <t>59.0</t>
  </si>
  <si>
    <t>51.9</t>
  </si>
  <si>
    <t>MV% from Table 4 (43/79)</t>
  </si>
  <si>
    <t>Group2</t>
  </si>
  <si>
    <t>TMP/SMZ + caspofungin (initial combination)</t>
  </si>
  <si>
    <t>TMP/SMZ + caspofungin (dose NR)</t>
  </si>
  <si>
    <t>77.1</t>
  </si>
  <si>
    <t>60.4</t>
  </si>
  <si>
    <t>57.1</t>
  </si>
  <si>
    <t>MV% from Table 4 (27/35)</t>
  </si>
  <si>
    <t>Group3</t>
  </si>
  <si>
    <t>TMP/SMZ + clindamycin</t>
  </si>
  <si>
    <t>Combination (other, specify): TMP-SMX + clindamycin</t>
  </si>
  <si>
    <t>49</t>
  </si>
  <si>
    <t>TMP/SMZ + clindamycin (dose NR)</t>
  </si>
  <si>
    <t>79.6</t>
  </si>
  <si>
    <t>58.9</t>
  </si>
  <si>
    <t>67.3</t>
  </si>
  <si>
    <t>MV% from Table 4 (39/49)</t>
  </si>
  <si>
    <t>No steroids</t>
  </si>
  <si>
    <t>Anti-Pneumocystis therapy without early adjunctive corticosteroids</t>
  </si>
  <si>
    <t>Other (specify): no early adjunctive corticosteroids</t>
  </si>
  <si>
    <t>234</t>
  </si>
  <si>
    <t>0 (-1;0)</t>
  </si>
  <si>
    <t>none early (91 received low-dose/late AC, 143 none)</t>
  </si>
  <si>
    <t>19.2</t>
  </si>
  <si>
    <t>27.8</t>
  </si>
  <si>
    <t>35.0</t>
  </si>
  <si>
    <t>Unmatched cohort</t>
  </si>
  <si>
    <t>Table 2/Table 3</t>
  </si>
  <si>
    <t>Steroids</t>
  </si>
  <si>
    <t>Anti-Pneumocystis therapy + early adjunctive corticosteroids</t>
  </si>
  <si>
    <t>Other (specify): early adjunctive corticosteroids</t>
  </si>
  <si>
    <t>116</t>
  </si>
  <si>
    <t>median 80 (60-80) mg/day prednisone equivalent; median duration 21 (8-25) days</t>
  </si>
  <si>
    <t>&gt;=1 mg/kg/day prednisone equiv within 5 days</t>
  </si>
  <si>
    <t>26.7</t>
  </si>
  <si>
    <t>62.9</t>
  </si>
  <si>
    <t>Whole cohort (TMP-SMX)</t>
  </si>
  <si>
    <t>TMP-SMX (gold standard); 16 patients on atovaquone/pentamidine or no therapy</t>
  </si>
  <si>
    <t>159/224 (71%) &gt;=15 mg/kg/day; 65/224 (29%) &lt;15 mg/kg/day</t>
  </si>
  <si>
    <t>36.7</t>
  </si>
  <si>
    <t>16.3</t>
  </si>
  <si>
    <t>44.8 (mean)</t>
  </si>
  <si>
    <t>72.1</t>
  </si>
  <si>
    <t>224 (93.3%) treated with TMP-SMX</t>
  </si>
  <si>
    <t>Conventional-dose</t>
  </si>
  <si>
    <t>TMP-SMX conventional dose</t>
  </si>
  <si>
    <t>1682</t>
  </si>
  <si>
    <t>mean 17.0 (SD 1.4) mg/kg/d TMP (15-20 mg/kg/d)</t>
  </si>
  <si>
    <t>64.5</t>
  </si>
  <si>
    <t>&gt;=40 mg/day prednisolone equivalent (within 2d)</t>
  </si>
  <si>
    <t>8.9</t>
  </si>
  <si>
    <t>2.4</t>
  </si>
  <si>
    <t>22.0</t>
  </si>
  <si>
    <t>68.2 (mean)</t>
  </si>
  <si>
    <t>44.3</t>
  </si>
  <si>
    <t>Low-dose</t>
  </si>
  <si>
    <t>TMP-SMX low dose</t>
  </si>
  <si>
    <t>2767</t>
  </si>
  <si>
    <t>mean 11.8 (SD 2.1) mg/kg/d TMP (7.5-&lt;15 mg/kg/d)</t>
  </si>
  <si>
    <t>66.4</t>
  </si>
  <si>
    <t>7.1</t>
  </si>
  <si>
    <t>3.5</t>
  </si>
  <si>
    <t>18.9</t>
  </si>
  <si>
    <t>69.0 (mean)</t>
  </si>
  <si>
    <t>54.7</t>
  </si>
  <si>
    <t>TMP-SMX alone</t>
  </si>
  <si>
    <t>1202</t>
  </si>
  <si>
    <t>TMP 15-20 mg/kg/day (initial)</t>
  </si>
  <si>
    <t>79.0</t>
  </si>
  <si>
    <t>9.8</t>
  </si>
  <si>
    <t>1.8</t>
  </si>
  <si>
    <t>15.3</t>
  </si>
  <si>
    <t>66.6 (mean)</t>
  </si>
  <si>
    <t>44.7</t>
  </si>
  <si>
    <t>TMP-SMX + echinocandins</t>
  </si>
  <si>
    <t>TMP-SMX + echinocandin (caspofungin 11.5% / micafungin 88.5%)</t>
  </si>
  <si>
    <t>caspofungin mean 75.0 (SD 14.5) mg/day; micafungin mean 135.2 (SD 43.4) mg/day; started within 3d of TMP-SMX</t>
  </si>
  <si>
    <t>&lt;=3 days after TMP-SMX</t>
  </si>
  <si>
    <t>15.6</t>
  </si>
  <si>
    <t>41.8</t>
  </si>
  <si>
    <t>63.8 (mean)</t>
  </si>
  <si>
    <t>58.2</t>
  </si>
  <si>
    <t>TMP-SMX</t>
  </si>
  <si>
    <t>5456</t>
  </si>
  <si>
    <t>mean 13.8 (SD 3.1) mg/kg/d TMP (crude); 13.6 (3.2) weighted</t>
  </si>
  <si>
    <t>oral/IV</t>
  </si>
  <si>
    <t>64.9</t>
  </si>
  <si>
    <t>7.9</t>
  </si>
  <si>
    <t>2.3</t>
  </si>
  <si>
    <t>14.0</t>
  </si>
  <si>
    <t>67.2 (mean)</t>
  </si>
  <si>
    <t>54.5</t>
  </si>
  <si>
    <t>Pentamidine</t>
  </si>
  <si>
    <t>IV pentamidine</t>
  </si>
  <si>
    <t>414</t>
  </si>
  <si>
    <t>mean 5.6 (SD 2.6) mg/kg/d (guideline 4 mg/kg/day; fixed 300 mg/vial)</t>
  </si>
  <si>
    <t>56.5</t>
  </si>
  <si>
    <t>9.2</t>
  </si>
  <si>
    <t>1.0</t>
  </si>
  <si>
    <t>16.9</t>
  </si>
  <si>
    <t>67.9 (mean)</t>
  </si>
  <si>
    <t>Group1 (TMP/SMZ mono)</t>
  </si>
  <si>
    <t>135</t>
  </si>
  <si>
    <t>TMP 15-20 mg/kg/day + SMZ 75-100 mg/kg/day for 3 weeks</t>
  </si>
  <si>
    <t>7 (median symptom onset to tx)</t>
  </si>
  <si>
    <t>96.3</t>
  </si>
  <si>
    <t>adjunctive corticosteroids per guidelines (dose/duration not fixed)</t>
  </si>
  <si>
    <t>50.37</t>
  </si>
  <si>
    <t>85.19</t>
  </si>
  <si>
    <t>Caspofungin + TMP/SMZ (groups 2-4)</t>
  </si>
  <si>
    <t>Caspofungin + TMP/SMZ</t>
  </si>
  <si>
    <t>143</t>
  </si>
  <si>
    <t>caspofungin 50 mg/day (70 mg load day 1) added to TMP/SMZ; timing varied (day 0, +1wk, or +2wk)</t>
  </si>
  <si>
    <t>varies (1-3 wk caspofungin within 3-wk course)</t>
  </si>
  <si>
    <t>6-8 (median symptom onset to tx by group)</t>
  </si>
  <si>
    <t>96.5</t>
  </si>
  <si>
    <t>adjunctive corticosteroids per guidelines</t>
  </si>
  <si>
    <t>46.15</t>
  </si>
  <si>
    <t>81.8</t>
  </si>
  <si>
    <t>Pooled groups 2 (39), 3 (79), 4 (25); steroid% and MV% are weighted from group values</t>
  </si>
  <si>
    <t>Whole cohort (non-HIV PCP)</t>
  </si>
  <si>
    <t>First-line TMP-SMX (n=56); pentamidine (n=5); atovaquone (n=2)</t>
  </si>
  <si>
    <t>7 (survivors) / 8.5 (nonsurvivors) median symptom onset to tx</t>
  </si>
  <si>
    <t>88.9</t>
  </si>
  <si>
    <t>adjuvant corticosteroids (incl. methylprednisolone 1000 mg/day pulse in 26/63)</t>
  </si>
  <si>
    <t>282.9 (surv) / 219.3 (nonsurv) PaO2/FiO2</t>
  </si>
  <si>
    <t>188 (surv) / 504.5 (nonsurv) pg/mL</t>
  </si>
  <si>
    <t>~24 (kidney transplant)</t>
  </si>
  <si>
    <t>63 (surv) / 72.5 (nonsurv)</t>
  </si>
  <si>
    <t>~40 (female 63.3% surv / 42.9% nonsurv)</t>
  </si>
  <si>
    <t>85.7% survivors and 100% nonsurvivors received TMP-SMX first-line</t>
  </si>
  <si>
    <t>Combined echinocandins group</t>
  </si>
  <si>
    <t>Echinocandins + TMP-SMX + clindamycin + glucocorticoid</t>
  </si>
  <si>
    <t>Combination (other, specify): TMP-SMX + echinocandin + clindamycin</t>
  </si>
  <si>
    <t>echinocandins 50 mg qd; TMP-SMX 80mg-400mg tid; clindamycin 800mg q8h; glucocorticoid 40mg bid</t>
  </si>
  <si>
    <t>IV/oral</t>
  </si>
  <si>
    <t>hospital stay mean 19.36 d</t>
  </si>
  <si>
    <t>glucocorticoid 40 mg bid</t>
  </si>
  <si>
    <t>PaO2/FiO2 &gt;200 in 45/52; &lt;=200 in 7/52</t>
  </si>
  <si>
    <t>41.43 (mean)</t>
  </si>
  <si>
    <t>86.5</t>
  </si>
  <si>
    <t>CD4 mean 64.6 cells/uL</t>
  </si>
  <si>
    <t>Table 1/Fig 1</t>
  </si>
  <si>
    <t>Non-combined (TMP-SMX + clindamycin) group</t>
  </si>
  <si>
    <t>TMP-SMX + clindamycin + glucocorticoid</t>
  </si>
  <si>
    <t>TMP-SMX 80mg-400mg tid; clindamycin 800mg q8h; glucocorticoid 40mg bid</t>
  </si>
  <si>
    <t>oral</t>
  </si>
  <si>
    <t>hospital stay mean 20.92 d</t>
  </si>
  <si>
    <t>PaO2/FiO2 &gt;200 in 55/70; &lt;=200 in 15/70</t>
  </si>
  <si>
    <t>43.31 (mean)</t>
  </si>
  <si>
    <t>95.7</t>
  </si>
  <si>
    <t>CD4 mean 51.2 cells/uL</t>
  </si>
  <si>
    <t>With caspofungin</t>
  </si>
  <si>
    <t>caspofungin (dose NR); total caspofungin duration 7 (SD 6) d</t>
  </si>
  <si>
    <t>83.3</t>
  </si>
  <si>
    <t>adjuvant steroid (dose NR)</t>
  </si>
  <si>
    <t>123 mmHg (median)</t>
  </si>
  <si>
    <t>54.0 (mean)</t>
  </si>
  <si>
    <t>45.0</t>
  </si>
  <si>
    <t>13 got caspofungin as initial combination; others for sulfa allergy/suspected fungal/salvage</t>
  </si>
  <si>
    <t>Table 3/Table 4</t>
  </si>
  <si>
    <t>Without caspofungin</t>
  </si>
  <si>
    <t>TMP-SMX (no caspofungin)</t>
  </si>
  <si>
    <t>94</t>
  </si>
  <si>
    <t>TMP-SMX (dose NR)</t>
  </si>
  <si>
    <t>80.9</t>
  </si>
  <si>
    <t>40.4</t>
  </si>
  <si>
    <t>130 mmHg (median)</t>
  </si>
  <si>
    <t>57.0 (mean)</t>
  </si>
  <si>
    <t>54.3</t>
  </si>
  <si>
    <t>Low-dose corticosteroid group</t>
  </si>
  <si>
    <t>TMP-SMX (+/- caspofungin/IVIG) + low-dose adjunctive corticosteroid</t>
  </si>
  <si>
    <t>Combination (other, specify): TMP-SMX-based + low-dose corticosteroid (&lt;1 mg/kg/d)</t>
  </si>
  <si>
    <t>prednisone-eq median 0.83 mg/kg/d (IQR 0.68-0.87)</t>
  </si>
  <si>
    <t>11 (IQR 7-15)</t>
  </si>
  <si>
    <t>13.94 (SD 12.04) symptom onset to treatment</t>
  </si>
  <si>
    <t>prednisone-equivalent &lt;1 mg/kg/d; 0% pulse therapy</t>
  </si>
  <si>
    <t>27.1</t>
  </si>
  <si>
    <t>211.40 mmHg (day1 OI, mean)</t>
  </si>
  <si>
    <t>14.6</t>
  </si>
  <si>
    <t>18.8</t>
  </si>
  <si>
    <t>61.44 (mean)</t>
  </si>
  <si>
    <t>TMP-SMX 93.8%, caspofungin 47.9%, IVIG 43.8%</t>
  </si>
  <si>
    <t>High-dose corticosteroid group</t>
  </si>
  <si>
    <t>TMP-SMX (+/- caspofungin/IVIG) + high-dose adjunctive corticosteroid</t>
  </si>
  <si>
    <t>Combination (other, specify): TMP-SMX-based + high-dose corticosteroid (&gt;=1 mg/kg/d)</t>
  </si>
  <si>
    <t>prednisone-eq median 1.32 mg/kg/d (IQR 1.12-2.07)</t>
  </si>
  <si>
    <t>14 (IQR 9-22.75)</t>
  </si>
  <si>
    <t>10.57 (SD 8.10) symptom onset to treatment</t>
  </si>
  <si>
    <t>prednisone-equivalent &gt;=1 mg/kg/d; 25.0% received methylprednisolone pulse (500-1000 mg/d)</t>
  </si>
  <si>
    <t>23.6</t>
  </si>
  <si>
    <t>216.28 mmHg (day1 OI, mean)</t>
  </si>
  <si>
    <t>43.1</t>
  </si>
  <si>
    <t>5.6</t>
  </si>
  <si>
    <t>53.83 (mean)</t>
  </si>
  <si>
    <t>58.3</t>
  </si>
  <si>
    <t>TMP-SMX 98.6%, caspofungin 58.3%, IVIG 43.1%</t>
  </si>
  <si>
    <t>Early steroids (within 48h)</t>
  </si>
  <si>
    <t>SMX-TMP + early corticosteroid</t>
  </si>
  <si>
    <t>Combination (other, specify): TMP-SMX + early corticosteroid</t>
  </si>
  <si>
    <t>258</t>
  </si>
  <si>
    <t>steroid starting dose median 60 mg (IQR 40-100) prednisone-eq; SMX-TMP in 96%</t>
  </si>
  <si>
    <t>steroid 7 (IQR 5-12)</t>
  </si>
  <si>
    <t>time to steroid 6 h (IQR -13 to 25)</t>
  </si>
  <si>
    <t>prednisone-eq median daily 60 mg (IQR 42-79)</t>
  </si>
  <si>
    <t>PF 143 (median)</t>
  </si>
  <si>
    <t>65 (median)</t>
  </si>
  <si>
    <t>worse baseline hypoxaemia than no-steroid group</t>
  </si>
  <si>
    <t>No early steroids</t>
  </si>
  <si>
    <t>SMX-TMP (no early corticosteroid)</t>
  </si>
  <si>
    <t>SMX-TMP in 91%; 20/65 received steroids after 48h (median start 73h)</t>
  </si>
  <si>
    <t>steroid (if late) 4 (IQR 1-10)</t>
  </si>
  <si>
    <t>late/none; late daily dose median 60 mg</t>
  </si>
  <si>
    <t>PF 212 (median)</t>
  </si>
  <si>
    <t>69</t>
  </si>
  <si>
    <t>TMP-SMX + caspofungin (whole cohort)</t>
  </si>
  <si>
    <t>TMP-SMX + caspofungin (+/- glucocorticoid)</t>
  </si>
  <si>
    <t>TMP 15-20 mg/kg/d, SMX 75-100 mg/kg/d; caspofungin 70 mg IV day1 then 50 mg/d</t>
  </si>
  <si>
    <t>oral TMP-SMX + IV caspofungin</t>
  </si>
  <si>
    <t>TMP-SMX &gt;=14 d</t>
  </si>
  <si>
    <t>symptom onset to admission 5.68 (SD 3.66) d</t>
  </si>
  <si>
    <t>77.3</t>
  </si>
  <si>
    <t>short-term glucocorticoid x 7 d (17/22)</t>
  </si>
  <si>
    <t>oxygenation index 209.55 (mean)</t>
  </si>
  <si>
    <t>9.1</t>
  </si>
  <si>
    <t>18.2</t>
  </si>
  <si>
    <t>61.18 (mean)</t>
  </si>
  <si>
    <t>all had respiratory failure; oxygen therapy nasal 11 / mask 10 / HFNC 1; no invasive MV</t>
  </si>
  <si>
    <t>TMP-SMX monotherapy</t>
  </si>
  <si>
    <t>TMP-SMX median 8 (IQR 4-16)</t>
  </si>
  <si>
    <t>time from TMP-SMX to ICU admission median 1 d</t>
  </si>
  <si>
    <t>83.9</t>
  </si>
  <si>
    <t>corticosteroid (dose NR)</t>
  </si>
  <si>
    <t>SOFA-resp 2.8 (mean)</t>
  </si>
  <si>
    <t>89.4 pg/mL (median, IQR 10.0-229.8)</t>
  </si>
  <si>
    <t>3.2</t>
  </si>
  <si>
    <t>16.1</t>
  </si>
  <si>
    <t>66.0 (median)</t>
  </si>
  <si>
    <t>higher solid tumor (32.3%) and pulmonary aspergillosis (38.7%)</t>
  </si>
  <si>
    <t>89</t>
  </si>
  <si>
    <t>caspofungin (dose NR)</t>
  </si>
  <si>
    <t>IV caspofungin + TMP-SMX</t>
  </si>
  <si>
    <t>TMP-SMX median 16 (IQR 10-23)</t>
  </si>
  <si>
    <t>time from TMP-SMX to ICU admission median 0 d</t>
  </si>
  <si>
    <t>92.1</t>
  </si>
  <si>
    <t>82.0</t>
  </si>
  <si>
    <t>SOFA-resp 3.0 (mean)</t>
  </si>
  <si>
    <t>100.6 pg/mL (median, IQR 10.0-245.9)</t>
  </si>
  <si>
    <t>22.5</t>
  </si>
  <si>
    <t>60.0 (median)</t>
  </si>
  <si>
    <t>Group 1: TMP/SMZ monotherapy</t>
  </si>
  <si>
    <t>severe (PaO2&lt;70)</t>
  </si>
  <si>
    <t>&gt;=45 mmHg (severe def.)</t>
  </si>
  <si>
    <t>1.2 (cohort)</t>
  </si>
  <si>
    <t>7.3 (cohort)</t>
  </si>
  <si>
    <t>59.0 (mean)</t>
  </si>
  <si>
    <t>cohort CTD 58.2%</t>
  </si>
  <si>
    <t>Group 2: TMP/SMZ + caspofungin</t>
  </si>
  <si>
    <t>TMP/SMZ + caspofungin</t>
  </si>
  <si>
    <t>IV caspofungin + TMP/SMZ</t>
  </si>
  <si>
    <t>severe</t>
  </si>
  <si>
    <t>&gt;=45 mmHg</t>
  </si>
  <si>
    <t>60.4 (mean)</t>
  </si>
  <si>
    <t>Group 3: TMP/SMZ + clindamycin</t>
  </si>
  <si>
    <t>58.9 (mean)</t>
  </si>
  <si>
    <t>abstract lists n=45 (27.6%); Table 4 lists n=49 (30.1%)</t>
  </si>
  <si>
    <t>First-line caspofungin + TMP/SMZ</t>
  </si>
  <si>
    <t>Caspofungin + TMP/SMZ (first-line)</t>
  </si>
  <si>
    <t>caspofungin 70 mg IV day1 then 50 mg/d; TMP/SMZ mean 15.05 mg/kg/d (by TMP)</t>
  </si>
  <si>
    <t>IV caspofungin + oral TMP/SMZ</t>
  </si>
  <si>
    <t>21.88 (SD 6.53)</t>
  </si>
  <si>
    <t>symptom onset to treatment 11.89 (SD 8.55)</t>
  </si>
  <si>
    <t>adjunctive corticosteroids (agent/dose NR)</t>
  </si>
  <si>
    <t>PaO2/FiO2 149.59 (mean)</t>
  </si>
  <si>
    <t>472.06 pg/mL (mean, SD 281.41)</t>
  </si>
  <si>
    <t>22.2</t>
  </si>
  <si>
    <t>57.67 (mean)</t>
  </si>
  <si>
    <t>APACHE II 15.78</t>
  </si>
  <si>
    <t>Table I/II/III</t>
  </si>
  <si>
    <t>Second-line (salvage) caspofungin + TMP/SMZ</t>
  </si>
  <si>
    <t>Caspofungin + TMP/SMZ (second-line/salvage)</t>
  </si>
  <si>
    <t>caspofungin 70 mg IV day1 then 50 mg/d; TMP/SMZ mean 14.10 mg/kg/d</t>
  </si>
  <si>
    <t>caspofungin 13.00 (SD 5.65); TMP/SMZ 16.00 (SD 5.66)</t>
  </si>
  <si>
    <t>symptom onset to combination 20.20 (SD 10.07)</t>
  </si>
  <si>
    <t>60.0</t>
  </si>
  <si>
    <t>PaO2/FiO2 141.11 (mean)</t>
  </si>
  <si>
    <t>584.83 pg/mL (mean, SD 332.39)</t>
  </si>
  <si>
    <t>20.0</t>
  </si>
  <si>
    <t>60.80 (mean)</t>
  </si>
  <si>
    <t>APACHE II 18.20; given after failed monotherapy</t>
  </si>
  <si>
    <t>3  Outcomes (events per arm)</t>
  </si>
  <si>
    <t>Outcome</t>
  </si>
  <si>
    <t>Timepoint / definition note</t>
  </si>
  <si>
    <t>Events (n)</t>
  </si>
  <si>
    <t>Denominator (N)</t>
  </si>
  <si>
    <t>Effect as reported (adj. OR/HR/RR, 95%CI)</t>
  </si>
  <si>
    <t>Adjusted for (covariates)</t>
  </si>
  <si>
    <t>Verbatim quote</t>
  </si>
  <si>
    <t>Note</t>
  </si>
  <si>
    <t>Mortality - 30 day</t>
  </si>
  <si>
    <t>30-day all-cause</t>
  </si>
  <si>
    <t>aOR 0.52 (0.24-1.12)</t>
  </si>
  <si>
    <t>Age, HIV, PaO2/FiO2, steroids</t>
  </si>
  <si>
    <t>"30-day mortality was 15.3% (9/59) in the combination group"</t>
  </si>
  <si>
    <t>p.6, Table 3</t>
  </si>
  <si>
    <t>30 days</t>
  </si>
  <si>
    <t>naive HR 2.04 [1.02-4.09] p=0.04; IPW HR 1.45 [0.7-3.04] p=0.32 (EACST vs no/late)</t>
  </si>
  <si>
    <t>IPW propensity (age, gender, malignancy type, alloHSCT, SOFA, SOFA-resp, ICU)</t>
  </si>
  <si>
    <t>naive analysis showed there was a significant increase of 30-days (HR = 2.04, CI 95% [1.02-4.09] p = 0.04) ... using weighted analysis, no significant differences were observed between the EACST group and no or late corticosteroids therapy group on 30-days (HR = 1,45, CI 95% [0.7-3.04], p = 0.32)</t>
  </si>
  <si>
    <t>Results/Table 3</t>
  </si>
  <si>
    <t>per-arm event counts not reported</t>
  </si>
  <si>
    <t>reference</t>
  </si>
  <si>
    <t>Overall 30-day and 1-year mortality rate was 24,1% and 56,4%</t>
  </si>
  <si>
    <t>Abstract/Results</t>
  </si>
  <si>
    <t>per-arm counts NR; overall 30-day mortality 32/133</t>
  </si>
  <si>
    <t>Mortality - other (specify): 1-year</t>
  </si>
  <si>
    <t>1 year</t>
  </si>
  <si>
    <t>naive HR 1.85 [1.17-2.91] p=0.008; IPW HR 1.25 [0.75-2.09] p=0.39</t>
  </si>
  <si>
    <t>IPW propensity</t>
  </si>
  <si>
    <t>significant increase of ... 1-year (HR = 1.85, CI 95% [1.17-2.91], p = 0.008) mortality rate in the EACST groups ... no significant differences ... on ... 1-year (HR = 1.25, CI 95% [0.75-2.09], p = 0.39)</t>
  </si>
  <si>
    <t>per-arm counts NR</t>
  </si>
  <si>
    <t>1-year mortality rate was 56,4%</t>
  </si>
  <si>
    <t>overall 1-year mortality 75/133</t>
  </si>
  <si>
    <t>Other (specify): pulmonary co-infection</t>
  </si>
  <si>
    <t>during hospital stay</t>
  </si>
  <si>
    <t>30</t>
  </si>
  <si>
    <t>OR 0.89 [0.41-1.91] p=0.77 (IPW)</t>
  </si>
  <si>
    <t>51.7% (n = 30) of patients who were treated with EACST presented a co-infection vs 46.7% (n = 35) in other patients.</t>
  </si>
  <si>
    <t>46.7% (n = 35) in other patients.</t>
  </si>
  <si>
    <t>Mortality - in-hospital</t>
  </si>
  <si>
    <t>in-hospital</t>
  </si>
  <si>
    <t>45</t>
  </si>
  <si>
    <t>corticosteroid newly initiated HR 1.89 [1.03-3.44] p=0.039; CRP&gt;110 HR 2.55 [1.35-4.83]</t>
  </si>
  <si>
    <t>multivariate Cox (CRP, SaO2, corticosteroid initiation)</t>
  </si>
  <si>
    <t>In-hospital mortality was 27.8%, with 45 deaths during hospitalisation.</t>
  </si>
  <si>
    <t>Results/Table 2</t>
  </si>
  <si>
    <t>Mortality - other (specify): 3-month</t>
  </si>
  <si>
    <t>3 months</t>
  </si>
  <si>
    <t>Death 54 (35.1)</t>
  </si>
  <si>
    <t>Table 2</t>
  </si>
  <si>
    <t>3-month follow-up; text: 'Mortality increased to 35.1% within 3 months of discharge'</t>
  </si>
  <si>
    <t>ICU admission</t>
  </si>
  <si>
    <t>during admission</t>
  </si>
  <si>
    <t>Need for ICU transfer 52 (32.1)</t>
  </si>
  <si>
    <t>92.3% for acute respiratory distress</t>
  </si>
  <si>
    <t>Change of therapy</t>
  </si>
  <si>
    <t>during treatment</t>
  </si>
  <si>
    <t>33</t>
  </si>
  <si>
    <t>Initial antimicrobial therapy with cotrimoxazole was switched to atovaquone in 20.8% of patients, mainly due to acute renal failure (38.7%) or cutaneous adverse events (19.4%).</t>
  </si>
  <si>
    <t>Antimicrobial adverse events 33 (20.8%); second-line atovaquone 30, pentamidine 3</t>
  </si>
  <si>
    <t>Adverse event - any</t>
  </si>
  <si>
    <t>Antimicrobial adverse events 33 (20.8)</t>
  </si>
  <si>
    <t>acute renal failure 12, toxic skin reaction 6, digestive intolerance 5, cytopenia 3</t>
  </si>
  <si>
    <t>Clinical response/cure</t>
  </si>
  <si>
    <t>end of follow-up</t>
  </si>
  <si>
    <t>Clinical cure was achieved in 8 out of 14 patients, while 5 had a fatal outcome due to their primary disease; however, only one patient died due to PcP.</t>
  </si>
  <si>
    <t>Mortality - other (specify): all-cause during follow-up</t>
  </si>
  <si>
    <t>follow-up</t>
  </si>
  <si>
    <t>5 had a fatal outcome due to their primary disease; however, only one patient died due to PcP.</t>
  </si>
  <si>
    <t>Mortality - other (specify): PcP-attributed</t>
  </si>
  <si>
    <t>only one patient died due to PcP</t>
  </si>
  <si>
    <t>the only clinical failure had the highest P. jirovecii DNA load in BAL</t>
  </si>
  <si>
    <t>30 day mortality ... Yes [bullous pemphigoid patient] ... Yes [liver transplant patient]</t>
  </si>
  <si>
    <t>uncertain - counted 2 'Yes' entries in 30-day mortality column of Table 1</t>
  </si>
  <si>
    <t>during therapy</t>
  </si>
  <si>
    <t>No adverse events were reported during echinocandin and clindamycin therapy.</t>
  </si>
  <si>
    <t>Mortality - 90 day</t>
  </si>
  <si>
    <t>90 days</t>
  </si>
  <si>
    <t>123</t>
  </si>
  <si>
    <t>solid tumour OR 5.73 [2.25-14.84]; long-term corticosteroid OR 2.25 [1.12-4.71]; SOFA OR 1.63 [1.44-1.87] (overall multivariate)</t>
  </si>
  <si>
    <t>multivariate logistic regression</t>
  </si>
  <si>
    <t>The 90-day mortality rate was 25.6% (n = 123).</t>
  </si>
  <si>
    <t>102</t>
  </si>
  <si>
    <t>In-hospital mortality 102 (21.2)</t>
  </si>
  <si>
    <t>Respiratory failure / mechanical ventilation</t>
  </si>
  <si>
    <t>at admission/course</t>
  </si>
  <si>
    <t>109</t>
  </si>
  <si>
    <t>mechanical ventilation univariate OR 6.94 [4.10-11.8] (HIV-negative)</t>
  </si>
  <si>
    <t>Mechanical ventilation 109 (22.7)</t>
  </si>
  <si>
    <t>237</t>
  </si>
  <si>
    <t>ICU admission 237 (49.3)</t>
  </si>
  <si>
    <t>Mortality - other (specify): day 28</t>
  </si>
  <si>
    <t>day 28</t>
  </si>
  <si>
    <t>7</t>
  </si>
  <si>
    <t>Death on day 28, n (%) 7 (15)</t>
  </si>
  <si>
    <t>day 90</t>
  </si>
  <si>
    <t>associated with lower FEV1, everolimus, Pseudomonas/fungal co-infection, MV, vasopressors</t>
  </si>
  <si>
    <t>univariate only</t>
  </si>
  <si>
    <t>Death on day 90, n (%) 11 (23)</t>
  </si>
  <si>
    <t>during PCP</t>
  </si>
  <si>
    <t>26</t>
  </si>
  <si>
    <t>OR NR (ICU HR not significant)</t>
  </si>
  <si>
    <t>At the time of PCP, 55% patients were hospitalized in ICU for organ failure</t>
  </si>
  <si>
    <t>26/47</t>
  </si>
  <si>
    <t>MV associated with day-90 mortality p=0.0003</t>
  </si>
  <si>
    <t>univariate</t>
  </si>
  <si>
    <t>Mechanical ventilation 11 (23)</t>
  </si>
  <si>
    <t>NIV in 10 (21%)</t>
  </si>
  <si>
    <t>In 11 patients (24%), a second line PCP treatment was administered because of drug intolerance (9 related to TMP-SMX).</t>
  </si>
  <si>
    <t>Discontinuation due to toxicity</t>
  </si>
  <si>
    <t>20%</t>
  </si>
  <si>
    <t>Curative TMP-SMX was prematurely stopped because of adverse effects in 20% of patients</t>
  </si>
  <si>
    <t>~9/47 (20%)</t>
  </si>
  <si>
    <t>within 14 days / at discharge</t>
  </si>
  <si>
    <t>grouped OR 4.2 [1.34-13.13] p=0.014 (unadjusted); adjusted OR 4.2 [1.34-13.13] p=0.032</t>
  </si>
  <si>
    <t>age, sex, GFR, PCT, initial PaO2, daily dose</t>
  </si>
  <si>
    <t>the high-concentration group showed significantly higher improvement rates (83.8% vs. 55.2%, P = 0.011)</t>
  </si>
  <si>
    <t>Abstract/Table 1</t>
  </si>
  <si>
    <t>31/37 = 83.8%</t>
  </si>
  <si>
    <t>16</t>
  </si>
  <si>
    <t>improvement rates (83.8% vs. 55.2%, P = 0.011)</t>
  </si>
  <si>
    <t>16/29 = 55.2%</t>
  </si>
  <si>
    <t>Mortality - other (specify): 28-day</t>
  </si>
  <si>
    <t>28 days</t>
  </si>
  <si>
    <t>grouped OR 0.09 [0.01-0.88] p=0.039 (high vs low)</t>
  </si>
  <si>
    <t>age, sex</t>
  </si>
  <si>
    <t>significantly lower 28-day mortality rates (2.7% vs. 20.7%, P = 0.038)</t>
  </si>
  <si>
    <t>1/37 = 2.7%</t>
  </si>
  <si>
    <t>28-day mortality rates (2.7% vs. 20.7%, P = 0.038)</t>
  </si>
  <si>
    <t>6/29 = 20.7%</t>
  </si>
  <si>
    <t>no significant differences by concentration (&gt;=150 vs &lt;150), absolute rates higher in high group</t>
  </si>
  <si>
    <t>no significant differences were observed between the high-concentration group (&gt;= 150 ug/mL) and low-concentration group (&lt; 150 ug/mL) in incidence of rash, gastrointestinal discomfort, thrombocytopenia, leukopenia, or hyperkalemia</t>
  </si>
  <si>
    <t>Results/Table 4</t>
  </si>
  <si>
    <t>overall ADR incidence 37/66 (56.06%); ADR groups split at 150 not 100</t>
  </si>
  <si>
    <t>20% vs 0%, P=0.168</t>
  </si>
  <si>
    <t>There were 8 surviving discharge records in the T group, while all the patients survived in the CT group (mortality, 20 vs. 0%, P = 0.168).</t>
  </si>
  <si>
    <t>0% vs 20%, P=0.168</t>
  </si>
  <si>
    <t>Hospital mortality (%) 2 (20%) 0 (0%) 0.168</t>
  </si>
  <si>
    <t>ICU stay</t>
  </si>
  <si>
    <t>MV 40% vs 20%, P=0.356; IMV 30% vs 0%, P=0.211</t>
  </si>
  <si>
    <t>Mechanical ventilation (%) 4 (40%) 2 (20%) 0.356</t>
  </si>
  <si>
    <t>IMV T 3/10 vs CT 0/10</t>
  </si>
  <si>
    <t>MV 20% vs 40%</t>
  </si>
  <si>
    <t>IMV 0/10</t>
  </si>
  <si>
    <t>Other (specify): pneumomediastinum</t>
  </si>
  <si>
    <t>50% vs 0%, P=0.008</t>
  </si>
  <si>
    <t>Pneumomediastinum (%) 5 (50%) 0 (0%) 0.008</t>
  </si>
  <si>
    <t>Discussion text cites P=0.033</t>
  </si>
  <si>
    <t>0% vs 50%, P=0.008</t>
  </si>
  <si>
    <t>the pneumomediastinum incidence was much higher in the T group than in the CT group (50 vs. 0%)</t>
  </si>
  <si>
    <t>Cytopenia</t>
  </si>
  <si>
    <t>thrombocytopenia 9/10 vs 3/10, P=0.020</t>
  </si>
  <si>
    <t>more thrombocytopenia (9/10 vs. 3/10, P = 0.020) was emerged in the T group than in the CT group</t>
  </si>
  <si>
    <t>thrombocytopenia counts</t>
  </si>
  <si>
    <t>3</t>
  </si>
  <si>
    <t>thrombocytopenia 3/10 vs 9/10, P=0.020</t>
  </si>
  <si>
    <t>more thrombocytopenia (9/10 vs. 3/10, P = 0.020)</t>
  </si>
  <si>
    <t>Table 3</t>
  </si>
  <si>
    <t>total AE 27/80 vs 8/80, P&lt;0.001</t>
  </si>
  <si>
    <t>The total adverse reaction rate was much lower in the CT group than in the T group (8/80 vs. 27/80, P &lt; 0.001).</t>
  </si>
  <si>
    <t>denominator 80 = 8 AE categories x 10 patients</t>
  </si>
  <si>
    <t>8/80 vs 27/80, P&lt;0.001</t>
  </si>
  <si>
    <t>8/80 vs. 27/80, P &lt; 0.001</t>
  </si>
  <si>
    <t>Length of stay</t>
  </si>
  <si>
    <t>hospital / ICU</t>
  </si>
  <si>
    <t>hospital 39.0 vs 26.5 d (P=0.011); ICU 22.5 vs 12.5 d (P=0.008)</t>
  </si>
  <si>
    <t>CT group had a shorter staying of hospital (26.5 vs. 39.0 days, P = 0.011), ICU (12.5 vs. 22.5 days, P = 0.008)</t>
  </si>
  <si>
    <t>median days</t>
  </si>
  <si>
    <t>hospital 26.5 d; ICU 12.5 d</t>
  </si>
  <si>
    <t>shorter staying of hospital (26.5 vs. 39.0 days, P = 0.011), ICU (12.5 vs. 22.5 days, P = 0.008)</t>
  </si>
  <si>
    <t>pre-existing ILD multivariate HR 5.952 [1.900-18.649] p=0.002</t>
  </si>
  <si>
    <t>multivariate Cox (albumin, LDH, KL-6, P/F, CRP, steroid pulse)</t>
  </si>
  <si>
    <t>The 90-day mortality rate was 37.8% (28 out of 74) in all subjects and significantly higher in the ILD group (62.5%, 20 out of 32) than in the non-ILD group (19.0%, eight out of 42; p&lt;0.001)</t>
  </si>
  <si>
    <t>non-ILD group (19.0%, eight out of 42; p&lt;0.001)</t>
  </si>
  <si>
    <t>AGT vs no AGT aOR 0.80 (0.30-2.17), propensity-adjusted (Abstract)</t>
  </si>
  <si>
    <t>propensity score</t>
  </si>
  <si>
    <t>Death 7 (17.9) ... AGT 29 (21.8) ... P .6</t>
  </si>
  <si>
    <t>17.9% vs 21.8%, P=.6</t>
  </si>
  <si>
    <t>aOR 0.80 (0.30-2.17) propensity-adjusted; overall 90-day mortality 20.8%</t>
  </si>
  <si>
    <t>Death 7 (17.9) ... 29 (21.8) ... P .6</t>
  </si>
  <si>
    <t>hospitalisation</t>
  </si>
  <si>
    <t>12</t>
  </si>
  <si>
    <t>aOR 0.49 (0.21-1.12) propensity-adjusted</t>
  </si>
  <si>
    <t>ICU admission 12 (30.8) ... 63 (47.4) ... .06</t>
  </si>
  <si>
    <t>aOR 0.49 (0.21-1.12); overall ICU 43.4%</t>
  </si>
  <si>
    <t>P=.56</t>
  </si>
  <si>
    <t>Mechanical ventilation 11 (28.2) ... 44 (33.1) ... .56</t>
  </si>
  <si>
    <t>P=.56; overall MV 31.8%</t>
  </si>
  <si>
    <t>48 days (end of therapy)</t>
  </si>
  <si>
    <t>NA (single case)</t>
  </si>
  <si>
    <t>Following a total treatment duration of 48 days, the PJP nucleic acid test yielded negative results for the first time, marking a critical milestone in her recovery.</t>
  </si>
  <si>
    <t>Outcome and Follow-Up</t>
  </si>
  <si>
    <t>Survived, discharged</t>
  </si>
  <si>
    <t>within 1 month of PJP diagnosis</t>
  </si>
  <si>
    <t>15</t>
  </si>
  <si>
    <t>a total of 29 (40.3%) patients with PJP died, of whom 15 (20.8%) died within the first month after PJP diagnosis</t>
  </si>
  <si>
    <t>Outcomes of Patients with PJP</t>
  </si>
  <si>
    <t>20.8%</t>
  </si>
  <si>
    <t>Mortality - other (specify: within 1 year)</t>
  </si>
  <si>
    <t>18 (25%) died within 6 mo, and 21 (29.2%) died within 1 yr</t>
  </si>
  <si>
    <t>6-month mortality 18/72 (25%); total deaths 29/72 (40.3%)</t>
  </si>
  <si>
    <t>during PJP course</t>
  </si>
  <si>
    <t>Respiratory failure independent predictor of poor OS (HR 3.213, 1.303-7.920)</t>
  </si>
  <si>
    <t>multivariable Cox</t>
  </si>
  <si>
    <t>A total of 37 (51.4%) patients developed respiratory failure.</t>
  </si>
  <si>
    <t>Invasive MV 14/72 (19.4%); NIV 17/72 (23.6%); nasal O2 29/72</t>
  </si>
  <si>
    <t>3 months (all patients)</t>
  </si>
  <si>
    <t>Combination vs mono adjusted HR 1.100 (0.508-2.380), P=0.809 (all patients)</t>
  </si>
  <si>
    <t>LDH, lymphocytes, albumin, PaO2/FiO2, bacteraemia, shock</t>
  </si>
  <si>
    <t>Patients who received combination therapy had a lower 3 month mortality, but there was no statistically significant difference (23%, n = 8 vs. 36%, n = 33; p = 0.150)</t>
  </si>
  <si>
    <t>Table 2 / Results</t>
  </si>
  <si>
    <t>36% vs 23%, P=0.150</t>
  </si>
  <si>
    <t>adjusted HR 1.100 (0.508-2.380), P=0.809</t>
  </si>
  <si>
    <t>see mono row</t>
  </si>
  <si>
    <t>3 month all-cause mortality ... Monotherapy 33 (36%) Combination 8 (23%) ... 0.150</t>
  </si>
  <si>
    <t>5 patients excluded from mortality analysis (deaths from other causes)</t>
  </si>
  <si>
    <t>positive response (all patients)</t>
  </si>
  <si>
    <t>P=0.339</t>
  </si>
  <si>
    <t>The overall positive response rate of PJP treatment was 59% (n = 54) and 69% (n = 24) in the monotherapy and combination therapy, respectively (p = 0.339)</t>
  </si>
  <si>
    <t>Results / Table 2</t>
  </si>
  <si>
    <t>59%</t>
  </si>
  <si>
    <t>59% (n = 54) and 69% (n = 24) in the monotherapy and combination therapy, respectively (p = 0.339)</t>
  </si>
  <si>
    <t>69%</t>
  </si>
  <si>
    <t>hospitalisation (all patients)</t>
  </si>
  <si>
    <t>P=0.663</t>
  </si>
  <si>
    <t>Admission to ICU 68 (54%) 47 (52%) 20 (57%) 0.663</t>
  </si>
  <si>
    <t>52%</t>
  </si>
  <si>
    <t>Admission to ICU ... 47 (52%) 20 (57%) 0.663</t>
  </si>
  <si>
    <t>57%</t>
  </si>
  <si>
    <t>P=0.206</t>
  </si>
  <si>
    <t>Invasive mechanical ventilation 57 (45%) 38 (42%) 19 (54%) 0.206</t>
  </si>
  <si>
    <t>42% invasive MV</t>
  </si>
  <si>
    <t>19</t>
  </si>
  <si>
    <t>Invasive mechanical ventilation ... 38 (42%) 19 (54%) 0.206</t>
  </si>
  <si>
    <t>54% invasive MV</t>
  </si>
  <si>
    <t>3 months (BDG&gt;=800 subgroup, n=34)</t>
  </si>
  <si>
    <t>Combination vs mono adjusted HR 0.279 (0.083-0.940), P=0.039</t>
  </si>
  <si>
    <t>patients who received combination therapy had a significantly lower 3 month mortality (20% vs. 56%; p = 0.010)</t>
  </si>
  <si>
    <t>BDG&gt;=800 subgroup: 56% mono</t>
  </si>
  <si>
    <t>3 months (BDG&gt;=800 subgroup, n=20)</t>
  </si>
  <si>
    <t>adjusted HR 0.279 (0.083-0.940), P=0.039</t>
  </si>
  <si>
    <t>3 month all-cause mortality ... 19 (56%) 4 (20%) 0.010</t>
  </si>
  <si>
    <t>BDG&gt;=800: 20% combo vs 56% mono, P=0.010</t>
  </si>
  <si>
    <t>positive response (BDG&gt;=800 subgroup)</t>
  </si>
  <si>
    <t>P&lt;0.001</t>
  </si>
  <si>
    <t>the combination therapy showed a significantly higher positive response rate compared with monotherapy (80% vs. 38%; p &lt; 0.001)</t>
  </si>
  <si>
    <t>BDG&gt;=800: 38% mono</t>
  </si>
  <si>
    <t>Positive response rate ... 13 (38%) 16 (80%) &lt;0.001</t>
  </si>
  <si>
    <t>BDG&gt;=800: 80% combo</t>
  </si>
  <si>
    <t>3 months (BDG&lt;800 subgroup, n=57)</t>
  </si>
  <si>
    <t>Combination adjusted HR 2.216 (0.709-6.930), P=0.171</t>
  </si>
  <si>
    <t>confounders</t>
  </si>
  <si>
    <t>3 month mortality in patients who received combination therapy was similar to the monotherapy group (27% vs. 25%; p = 0.867)</t>
  </si>
  <si>
    <t>BDG&lt;800: 25% mono</t>
  </si>
  <si>
    <t>3 months (BDG&lt;800 subgroup, n=15)</t>
  </si>
  <si>
    <t>adjusted HR 2.216 (0.709-6.930), P=0.171</t>
  </si>
  <si>
    <t>3 month all-cause mortality ... 14 (25%) 4 (27%) 0.867</t>
  </si>
  <si>
    <t>BDG&lt;800: 27% combo; no benefit</t>
  </si>
  <si>
    <t>Mortality - other (specify: 60-day all-cause)</t>
  </si>
  <si>
    <t>60 days</t>
  </si>
  <si>
    <t>117</t>
  </si>
  <si>
    <t>Crude log-rank P&lt;0.001; adjunctive steroid not independent risk factor after multivariable/PSM (P=0.13)</t>
  </si>
  <si>
    <t>propensity score / multivariable</t>
  </si>
  <si>
    <t>The primary outcome occurred in 135 patients (40.4% of the study population), with 117 and 18 events occurring in the adjunctive steroid and non-steroid groups, respectively</t>
  </si>
  <si>
    <t>46.6%</t>
  </si>
  <si>
    <t>see steroid row; no-shock subgroup steroid OR 2.72 (1.11-6.66)</t>
  </si>
  <si>
    <t>117 and 18 events occurring in the adjunctive steroid and non-steroid groups, respectively</t>
  </si>
  <si>
    <t>21.7%</t>
  </si>
  <si>
    <t>P&lt;0.001 (non-HIV vs HIV)</t>
  </si>
  <si>
    <t>Discontinuation of TMP-SMX due to adverse effects ... 12 (35.3) 26 (89.7) &lt;0.001</t>
  </si>
  <si>
    <t>35.3%; denominator = TMP-SMX-treated (34)</t>
  </si>
  <si>
    <t>12 (35.3) 26 (89.7) &lt;0.001</t>
  </si>
  <si>
    <t>89.7%; denominator = TMP-SMX-treated (29)</t>
  </si>
  <si>
    <t>Rash/hypersensitivity</t>
  </si>
  <si>
    <t>P=0.027</t>
  </si>
  <si>
    <t>Hypersensitivity to TMP-SMX no. (%) ... 6 (17.6) 13 (44.8) 0.027</t>
  </si>
  <si>
    <t>17.6% (drug eruption and/or fever); denom N=34</t>
  </si>
  <si>
    <t>6 (17.6) 13 (44.8) 0.027</t>
  </si>
  <si>
    <t>44.8%; denom N=29</t>
  </si>
  <si>
    <t>Age aOR 1.07 (1.01-1.14); failure to initial treatment aOR 13.03 (2.34-72.65) - time-to-treatment NS</t>
  </si>
  <si>
    <t>age, sex, SAPS3, albumin, CMV/bacterial coinfection, failure</t>
  </si>
  <si>
    <t>Ultimately, 23 (45.1%) patients died while hospitalized.</t>
  </si>
  <si>
    <t>Results / Table 3</t>
  </si>
  <si>
    <t>45.1%</t>
  </si>
  <si>
    <t>Mortality - other (specify: ICU)</t>
  </si>
  <si>
    <t>The ICU mortality was 37.3% with a median stay of 15.0 (6.0-29.0) days.</t>
  </si>
  <si>
    <t>37.3%</t>
  </si>
  <si>
    <t>Treatment failure (study-defined)</t>
  </si>
  <si>
    <t>day 7 assessment</t>
  </si>
  <si>
    <t>Failure aOR 13.03 (2.34-72.65) for mortality</t>
  </si>
  <si>
    <t>multivariable</t>
  </si>
  <si>
    <t>Failure to initial treatment 22 (43.1)</t>
  </si>
  <si>
    <t>43.1%; day-7 response assessed in 50: 20 (40.0%) did not respond to TMP/SMZ</t>
  </si>
  <si>
    <t>after initial failure</t>
  </si>
  <si>
    <t>These 20 patients were subsequently treated with clindamycin-primaquine (n = 14) or pentamidine (n = 6) as salvage therapy for PCP.</t>
  </si>
  <si>
    <t>Switch to salvage: clindamycin-primaquine 14, pentamidine 6</t>
  </si>
  <si>
    <t>hospital</t>
  </si>
  <si>
    <t>Median hospital LOS 24.0 (15.5-32.5) d; ICU LOS 15.0 (6.0-29.0) d</t>
  </si>
  <si>
    <t>The median hospital stay was 24.0 (15.5-32.5) days.</t>
  </si>
  <si>
    <t>end of salvage therapy</t>
  </si>
  <si>
    <t>NA (single-arm)</t>
  </si>
  <si>
    <t>This combination regimen of PQ-CLDM was effective in 16 (89%) patients and developed adverse events (AEs) in five (28%) patients.</t>
  </si>
  <si>
    <t>Abstract / Results</t>
  </si>
  <si>
    <t>89% effective; 2 ineffective (incl. 2 'excellent' responses among the 16)</t>
  </si>
  <si>
    <t>during salvage therapy</t>
  </si>
  <si>
    <t>AEs were reported in five (28%) cases, including hepatic dysfunction (n = 1), skin rashes (n = 2), and methemoglobinemia (n = 2).</t>
  </si>
  <si>
    <t>28%; none serious</t>
  </si>
  <si>
    <t>PQ had to be discontinued in two methemoglobinemia cases, with one case receiving ascorbic acid in addition.</t>
  </si>
  <si>
    <t>Primaquine discontinued for methemoglobinemia (2 cases); patients recovered</t>
  </si>
  <si>
    <t>Other (specify): anti-PCP + placebo</t>
  </si>
  <si>
    <t>28 day</t>
  </si>
  <si>
    <t>36</t>
  </si>
  <si>
    <t>32.4% vs 21.5%; mean difference 10.9% (95% CI -0.9 to 22.5), p=0.069</t>
  </si>
  <si>
    <t>post-hoc adjusted OR 0.58 (0.30-1.10)</t>
  </si>
  <si>
    <t>All-cause 28-day mortality occurred in 36 (32·4%) patients in the placebo group versus 23 (21·5%) in the corticosteroid group (mean difference 10·9% [95% CI –0·9 to 22·5]; p=0∙069)</t>
  </si>
  <si>
    <t>Table 2/Results</t>
  </si>
  <si>
    <t>Other (specify): anti-PCP + methylprednisolone</t>
  </si>
  <si>
    <t>21.5% vs 32.4%, p=0.069</t>
  </si>
  <si>
    <t>All-cause 28-day mortality occurred in 36 (32·4%) patients in the placebo group versus 23 (21·5%) in the corticosteroid group</t>
  </si>
  <si>
    <t>90 day</t>
  </si>
  <si>
    <t>43.2% vs 28.0%; HR 0.59 (0.37-0.93), p=0.022</t>
  </si>
  <si>
    <t>90-day mortality occurred in 48 (43·2% [33·2 to 51·8]) versus 30 (28∙ 0% [19∙ 0 to 36·1])</t>
  </si>
  <si>
    <t>28.0% vs 43.2%; HR 0.59 (0.37-0.93), p=0.022</t>
  </si>
  <si>
    <t>Overall, all-cause 90-day mortality was significantly lower in the corticosteroid group (HR 0∙ 59 [0·37 to 0·93]; p=0·022)</t>
  </si>
  <si>
    <t>in-hospital (within 28d)</t>
  </si>
  <si>
    <t>31.5% vs 21.5%; mean difference 10.0% (-1.6 to 21.7), p=0.028</t>
  </si>
  <si>
    <t>mortality in hospital occurred in 43 (31·5% [22·9 to 40·2]) versus 26 (21·5% [13·7 to 29·3])</t>
  </si>
  <si>
    <t>uncertain - percentage 31.5% implies competing-risk denominator, not 111</t>
  </si>
  <si>
    <t>21.5% vs 31.5%, p=0.028</t>
  </si>
  <si>
    <t>mortality in hospital occurred in 43 (31·5% ...) versus 26 (21·5% [13·7 to 29·3])</t>
  </si>
  <si>
    <t>uncertain - competing-risk denominator</t>
  </si>
  <si>
    <t>within 28d (not intubated at randomisation)</t>
  </si>
  <si>
    <t>26.1% vs 10.1%; HR 0.36 (0.14-0.90), p=0.020</t>
  </si>
  <si>
    <t>18 (26∙ 1% [15·6–36·5]) of 69 in the placebo group and six (10·1% [2·3–17·7]) of 60 in the corticosteroid group (HR 0·36 ...)</t>
  </si>
  <si>
    <t>Results/Figure 3</t>
  </si>
  <si>
    <t>10.1% vs 26.1%; HR 0.36 (0.14-0.90)</t>
  </si>
  <si>
    <t>six (10·1% [2·3–17·7]) of 60 in the corticosteroid group</t>
  </si>
  <si>
    <t>within 28d (all secondary infections)</t>
  </si>
  <si>
    <t>34.2% vs 23.4%; mean difference 14.7% (2.4 to 27.0), p=0.055</t>
  </si>
  <si>
    <t>38 [34·2%; 95% CI 25·4 to 43·1] patients in the placebo group vs 25 [23·4%; 15·3 to 31·4] in the corticosteroid group</t>
  </si>
  <si>
    <t>Table 2/Abstract</t>
  </si>
  <si>
    <t>all secondary infections (pulmonary + non-pulmonary)</t>
  </si>
  <si>
    <t>23.4% vs 34.2%, p=0.055</t>
  </si>
  <si>
    <t>25 [23·4%; 15·3 to 31·4] in the corticosteroid group</t>
  </si>
  <si>
    <t>end of therapy</t>
  </si>
  <si>
    <t>100% vs 66.7%, P=0.005/0.026</t>
  </si>
  <si>
    <t>The percentage of patients with a positive clinical response in the ST group was significantly greater than that in the MT group (100.00% vs. 66.70%, P = 0.005)</t>
  </si>
  <si>
    <t>Abstract/Table 4</t>
  </si>
  <si>
    <t>66.7% vs 100%</t>
  </si>
  <si>
    <t>Positive of clinical response [%, no.] ... MT group, n = 18 66.70(12/18)</t>
  </si>
  <si>
    <t>after therapy</t>
  </si>
  <si>
    <t>0% vs 33.3%</t>
  </si>
  <si>
    <t>Treatment failure was reported in 6 patients (33.33%, 6/18) in the MT group</t>
  </si>
  <si>
    <t>ST had 0 treatment failures (100% positive response)</t>
  </si>
  <si>
    <t>33.3%</t>
  </si>
  <si>
    <t>Treatment failure was reported in 6 patients (33.33%, 6/18) in the MT group, and all 6 of these patients received salvage therapy</t>
  </si>
  <si>
    <t>Mortality - other (specify)</t>
  </si>
  <si>
    <t>all-cause (in-study)</t>
  </si>
  <si>
    <t>25.0% vs 16.67%, p=0.277</t>
  </si>
  <si>
    <t>All-cause mortality,% 21.05(8/38) 25.00(5/20) 16.67(3/18) 0.277</t>
  </si>
  <si>
    <t>no significant difference in all-cause mortality</t>
  </si>
  <si>
    <t>16.67% vs 25.0%, p=0.277</t>
  </si>
  <si>
    <t>All-cause mortality,% ... 16.67(3/18) 0.277</t>
  </si>
  <si>
    <t>15.0% vs 50.0%, P=0.022</t>
  </si>
  <si>
    <t>The incidence of adverse events in the MT group was greater than that in the ST group (50.00% vs. 15.00%, P = 0.022)</t>
  </si>
  <si>
    <t>50.0% vs 15.0%, P=0.022</t>
  </si>
  <si>
    <t>All adverse effects [%, no.] 31.58(12/38) 15.00(3/20) 50.00(9/18) 0.022</t>
  </si>
  <si>
    <t>Hyperkalaemia</t>
  </si>
  <si>
    <t>5.0% vs 11.11%</t>
  </si>
  <si>
    <t>Hyperkaliemia [%, no.] 7.89(3/38) 5.00(1/20) 11.11(2/18)</t>
  </si>
  <si>
    <t>11.11% vs 5.0%</t>
  </si>
  <si>
    <t>Hyperkaliemia [%, no.] ... 11.11(2/18)</t>
  </si>
  <si>
    <t>39%</t>
  </si>
  <si>
    <t>the total number of deaths during hospitalization was 57 (39%)</t>
  </si>
  <si>
    <t>53% of ICU patients</t>
  </si>
  <si>
    <t>Of the 83 patients admitted to ICU (56.8%), 44 (53%) died</t>
  </si>
  <si>
    <t>ICU mortality</t>
  </si>
  <si>
    <t>137</t>
  </si>
  <si>
    <t>42.3% (90-day survival rate 57.7%); 9 lost to follow-up</t>
  </si>
  <si>
    <t>CD8+ &lt;115/ml HR 4.418; sulfonamide delay &gt;=2d HR 5.304</t>
  </si>
  <si>
    <t>A total of 137 patients completed 90 days of follow-up, of which 58 (42.3%) died</t>
  </si>
  <si>
    <t>Results/Abstract</t>
  </si>
  <si>
    <t>Other (specify): TMP-SMX + standard-dose steroid</t>
  </si>
  <si>
    <t>17</t>
  </si>
  <si>
    <t>35.4% vs 50.8%, p=0.11; adjusted HR 0.339 (0.147-0.780)</t>
  </si>
  <si>
    <t>age, BMI, Murray, APACHE II, SOFA, oxygen requirement, immunocompromised status, albumin, LDH, PFR, CD4</t>
  </si>
  <si>
    <t>there was no significant difference in 28-day mortality (50.8% vs 35.4%, p=0.11)</t>
  </si>
  <si>
    <t>Table 3/Results</t>
  </si>
  <si>
    <t>28-day mortality standard 35.4% (17/48), low-dose 50.8% (29/57)</t>
  </si>
  <si>
    <t>Other (specify): TMP-SMX + low-dose steroid</t>
  </si>
  <si>
    <t>50.8% vs 35.4%, p=0.11</t>
  </si>
  <si>
    <t>28-day mortality 46(43.8) 29(50.8) 17(35.4) 0.11</t>
  </si>
  <si>
    <t>60 day</t>
  </si>
  <si>
    <t>43.8% vs 63.2%, p=0.04; adjusted HR 0.328 (0.152-0.709)</t>
  </si>
  <si>
    <t>full multivariable model (Model 3)</t>
  </si>
  <si>
    <t>a significant difference in the 60-day mortality across groups, with rates of 63.2% (36/57) in the low-dose steroid group and 43.8% (21/48) in the standard-dose steroid group (p=0.04)</t>
  </si>
  <si>
    <t>60-day mortality</t>
  </si>
  <si>
    <t>63.2% vs 43.8%, p=0.04</t>
  </si>
  <si>
    <t>63.2% (36/57) in the low-dose steroid group</t>
  </si>
  <si>
    <t>29.2% vs 43.8%, p=0.12</t>
  </si>
  <si>
    <t>ICU mortality, n (%) 39(37.1) 25(43.8) 14(29.2) 0.12</t>
  </si>
  <si>
    <t>43.8% vs 29.2%, p=0.12</t>
  </si>
  <si>
    <t>56.2% vs 56.1%, p=0.99</t>
  </si>
  <si>
    <t>IMV, n (%) 59(56.2) 32(56.1) 27(56.2) 0.99</t>
  </si>
  <si>
    <t>56.1% vs 56.2%, p=0.99</t>
  </si>
  <si>
    <t>46.4%; vs HIV 16.0%, P=0.006</t>
  </si>
  <si>
    <t>among 84 non-HIV-infected patients with PCP, 39 (46.4%) died within 60 days after the index date</t>
  </si>
  <si>
    <t>60-day all-cause mortality</t>
  </si>
  <si>
    <t>67.9%; vs HIV 28.0%, P&lt;0.001</t>
  </si>
  <si>
    <t>Respiratory failure 64 (58.7) 57 (67.9) 7 (28.0) &lt;0.001</t>
  </si>
  <si>
    <t>pneumothorax 9.5% (independent risk factor OR 10.68)</t>
  </si>
  <si>
    <t>Pneumothorax 10 (9.2) 8 (9.5) 2 (8.0) 0.817</t>
  </si>
  <si>
    <t>recorded as Other: pneumothorax (no better vocab match)</t>
  </si>
  <si>
    <t>4-8 days after first-line</t>
  </si>
  <si>
    <t>127</t>
  </si>
  <si>
    <t>57.73% did not respond</t>
  </si>
  <si>
    <t>Among these 220 patients, 127 (57.73%) did not respond to the first-line TMP/SMX treatment</t>
  </si>
  <si>
    <t>Other (specify): Clindamycin monotherapy</t>
  </si>
  <si>
    <t>second-line</t>
  </si>
  <si>
    <t>53.85%</t>
  </si>
  <si>
    <t>the response rates were 66.67% (6/9) in the C-P group, 33.3% (3/9) in the C-P-Ca group, 53.85% (7/13) in the C group, and 66.67% (12/18) in the C-Ca group</t>
  </si>
  <si>
    <t>66.67%</t>
  </si>
  <si>
    <t>66.67% (6/9) in the C-P group</t>
  </si>
  <si>
    <t>66.67% (12/18) in the C-Ca group</t>
  </si>
  <si>
    <t>33.3% (3/9) in the C-P-Ca group</t>
  </si>
  <si>
    <t>46.2% (overall second-line 53.1%), P=0.042 across groups</t>
  </si>
  <si>
    <t>The overall in-hospital mortality rate was 53.1% (26/49), which was the lowest in the C-P group (22.2% in the C-P group, 46.2% in the C group, 66.7% in the C-Ca group, 66.7% in the C-P-Ca group; P=0.042)</t>
  </si>
  <si>
    <t>46.2% of 13 = 6</t>
  </si>
  <si>
    <t>22.2% (lowest), P=0.042</t>
  </si>
  <si>
    <t>the lowest in-hospital mortality rate (22.2%, P = 0.042) among different second-line therapies</t>
  </si>
  <si>
    <t>22.2% of 9 = 2</t>
  </si>
  <si>
    <t>66.7%</t>
  </si>
  <si>
    <t>66.7% in the C-Ca group</t>
  </si>
  <si>
    <t>66.7% of 18 = 12</t>
  </si>
  <si>
    <t>66.7% in the C-P-Ca group</t>
  </si>
  <si>
    <t>66.7% of 9 = 6</t>
  </si>
  <si>
    <t>90 day (primaquine group pooled n=18)</t>
  </si>
  <si>
    <t>primaquine group 55.6% vs non-primaquine 61.3%, P=0.926 (unweighted)</t>
  </si>
  <si>
    <t>SMD-weighted P=0.171</t>
  </si>
  <si>
    <t>90-day mortality, n (%) 19 (61.3) 10 (55.6) 0.155 0.926</t>
  </si>
  <si>
    <t>Table 5</t>
  </si>
  <si>
    <t>primaquine pooled group (C-P + C-P-Ca), not C-P alone</t>
  </si>
  <si>
    <t>in-study (case series)</t>
  </si>
  <si>
    <t>The mortality rate was 33.3% for the 6 recipients treated with only TMP-SMZ, whereas it was 20% for the 5 recipients taking additional echinocandins</t>
  </si>
  <si>
    <t>patients 3 (ARDS) and 5 (sepsis) died in TMP-SMZ-alone group</t>
  </si>
  <si>
    <t>it was 20% for the 5 recipients taking additional echinocandins</t>
  </si>
  <si>
    <t>patient 9 (sepsis) died in echinocandin combo group</t>
  </si>
  <si>
    <t>PJP-attributable</t>
  </si>
  <si>
    <t>10% PJP-attributable mortality</t>
  </si>
  <si>
    <t>nine patients (90%) survived PJP, with one death from respiratory failure yielding a 10% PJP-attributable mortality rate</t>
  </si>
  <si>
    <t>one additional death from underlying disease; the mortality case did not receive early corticosteroids</t>
  </si>
  <si>
    <t>40% invasive mechanical ventilation (1 also ECMO)</t>
  </si>
  <si>
    <t>Respiratory support included: invasive mechanical ventilation: 4 patients (40%), ECMO: 1 patient (who subsequently died from respiratory failure)</t>
  </si>
  <si>
    <t>80% PICU (median stay 7.5d, range 0-45)</t>
  </si>
  <si>
    <t>Eight patients required PICU admission (median stay 7.5 days, range 0–45 days) for respiratory support</t>
  </si>
  <si>
    <t>in-hospital/overall</t>
  </si>
  <si>
    <t>60% vs 100% (no steroids), P=.034; multivariable OR for no-steroid use 13.5 (95% CI 1.1-158.5), P=.039</t>
  </si>
  <si>
    <t>HIV status and covariates (multivariable model)</t>
  </si>
  <si>
    <t>Mortality in HIV-negative patients who received adjuvant corticosteroid therapy was 60%, compared with 100% mortality in HIV-negative patients who did not receive corticosteroids (P = .034)</t>
  </si>
  <si>
    <t>Results (p.4)</t>
  </si>
  <si>
    <t>events derived: 60% of 20 = 12</t>
  </si>
  <si>
    <t>100% mortality</t>
  </si>
  <si>
    <t>compared with 100% mortality in HIV-negative patients who did not receive corticosteroids (P = .034)</t>
  </si>
  <si>
    <t>events derived: 100% of 8 = 8</t>
  </si>
  <si>
    <t>Mortality - other (specify): whole HIV-negative cohort mortality</t>
  </si>
  <si>
    <t>overall</t>
  </si>
  <si>
    <t>28</t>
  </si>
  <si>
    <t>71.4% overall HIV-negative mortality vs 16.3% HIV-positive</t>
  </si>
  <si>
    <t>The overall mortality rate was significantly higher in PJP cases without HIV (71.4%) than in PJP patients with HIV (16.3%) (Table 1A)</t>
  </si>
  <si>
    <t>whole HIV-negative subgroup (n=28); not split by steroid here</t>
  </si>
  <si>
    <t>30 days from start of treatment</t>
  </si>
  <si>
    <t>7.3% vs 17.3% unadjusted (P=.152); adjusted 6.7% vs 18.4% (P=.080)</t>
  </si>
  <si>
    <t>overlap weighting with propensity score</t>
  </si>
  <si>
    <t>30-d mortality  4 (7.3)  14 (17.3)  .152</t>
  </si>
  <si>
    <t>17.3% vs 7.3% (P=.152)</t>
  </si>
  <si>
    <t>Mortality - other (specify): 180-day</t>
  </si>
  <si>
    <t>180 days</t>
  </si>
  <si>
    <t>18.2% vs 28.4% unadjusted (P=.246); adjusted 14.6% vs 26.1% (P=.141)</t>
  </si>
  <si>
    <t>overlap weighting</t>
  </si>
  <si>
    <t>180-d mortality  10 (18.2)  23 (28.4)  .246</t>
  </si>
  <si>
    <t>28.4% vs 18.2% (P=.246)</t>
  </si>
  <si>
    <t>during treatment (grade 3+ CTCAE v5.0)</t>
  </si>
  <si>
    <t>29.1% vs 56.8% unadjusted (P=.003); adjusted 29.8% vs 59.0% (P=.005)</t>
  </si>
  <si>
    <t>Total  16 (29.1)  46 (56.8)  .003</t>
  </si>
  <si>
    <t>grade 3 or higher adverse events</t>
  </si>
  <si>
    <t>46</t>
  </si>
  <si>
    <t>56.8% vs 29.1% (P=.003)</t>
  </si>
  <si>
    <t>during treatment (grade 3+)</t>
  </si>
  <si>
    <t>14.5% vs 17.3% (P=.851)</t>
  </si>
  <si>
    <t>Skin rashes  8 (14.5)  14 (17.3)  .851</t>
  </si>
  <si>
    <t>17.3% vs 14.5% (P=.851)</t>
  </si>
  <si>
    <t>5.5% vs 14.8% (P=.152)</t>
  </si>
  <si>
    <t>Hyperkalemia  3 (5.5)  12 (14.8)  .152</t>
  </si>
  <si>
    <t>14.8% vs 5.5% (P=.152)</t>
  </si>
  <si>
    <t>Other (specify): hyponatremia (grade 3+)</t>
  </si>
  <si>
    <t>7.3% vs 28.4% (P=.005)</t>
  </si>
  <si>
    <t>Hyponatremia  4 (7.3)  23 (28.4)  .005</t>
  </si>
  <si>
    <t>28.4% vs 7.3% (P=.005)</t>
  </si>
  <si>
    <t>initial treatment course</t>
  </si>
  <si>
    <t>completion of initial treatment 43.6% vs 28.4% (P=.099)</t>
  </si>
  <si>
    <t>Completion of initial treatment  24 (43.6)  23 (28.4)  .099</t>
  </si>
  <si>
    <t>events = completed initial regimen (not changed)</t>
  </si>
  <si>
    <t>completion 28.4% vs 43.6% (P=.099)</t>
  </si>
  <si>
    <t>events = completed initial regimen</t>
  </si>
  <si>
    <t>30 days from treatment</t>
  </si>
  <si>
    <t>30-day survival 95.8% (95% CI 88.2-100.0)</t>
  </si>
  <si>
    <t>NR (no hypothesis testing performed)</t>
  </si>
  <si>
    <t>The primary cause of death was progressive respiratory failure in all 10 patients (1 patient in the low-dose group and 9 patients in the conventional-dose group) who died within 30 days from the day of treatment</t>
  </si>
  <si>
    <t>Results (p.813)</t>
  </si>
  <si>
    <t>30-day death count stated directly</t>
  </si>
  <si>
    <t>30-day survival 69.0% (95% CI 54.0-88.0)</t>
  </si>
  <si>
    <t>180-day survival 91.0% (95% CI 79.9-100.0)</t>
  </si>
  <si>
    <t>the 180-day survival rates were 91.0% (95% CI: 79.9%e100.0%) and 51.5% (95% CI: 36.1%e73.4%) in the low-dose and conventional-dose groups, respectively</t>
  </si>
  <si>
    <t>reported as KM survival rate only; raw death count not given (approx 2/24)</t>
  </si>
  <si>
    <t>180-day survival 51.5% (95% CI 36.1-73.4)</t>
  </si>
  <si>
    <t>KM survival rate only; approx 14/29 deaths</t>
  </si>
  <si>
    <t>58.3% vs 72.4%</t>
  </si>
  <si>
    <t>Total (%)  0  14 (58.3)  21 (72.4)</t>
  </si>
  <si>
    <t>72.4% vs 58.3%</t>
  </si>
  <si>
    <t>12.5% vs 24.1%</t>
  </si>
  <si>
    <t>Hyperkalemia (%)  0  3 (12.5)  7 (24.1)</t>
  </si>
  <si>
    <t>24.1% vs 12.5%</t>
  </si>
  <si>
    <t>Hepatotoxicity</t>
  </si>
  <si>
    <t>liver dysfunction 25.0% vs 20.7%</t>
  </si>
  <si>
    <t>Liver dysfunction (%)  0  6 (25.0)  6 (20.7)</t>
  </si>
  <si>
    <t>liver dysfunction 20.7% vs 25.0%</t>
  </si>
  <si>
    <t>Nephrotoxicity</t>
  </si>
  <si>
    <t>renal injury 12.5% vs 6.9%</t>
  </si>
  <si>
    <t>Renal injury (%)  0  3 (12.5)  2 (6.9)</t>
  </si>
  <si>
    <t>renal injury 6.9% vs 12.5%</t>
  </si>
  <si>
    <t>initial regimen</t>
  </si>
  <si>
    <t>completion with initial regimen 75.0% vs 31.0%</t>
  </si>
  <si>
    <t>Completion with initial regimen (%)  0  18 (75.0)  9 (31.0)</t>
  </si>
  <si>
    <t>completion 31.0% vs 75.0%</t>
  </si>
  <si>
    <t>Mortality - other (specify): 12-week post-PJP</t>
  </si>
  <si>
    <t>12 weeks post-PJP diagnosis</t>
  </si>
  <si>
    <t>4.9%</t>
  </si>
  <si>
    <t>Two (of 41, 4.9%) patients with PJP died by 12-weeks post-PJP diagnosis, with 1-year overall mortality of 14.6% (6/41 patients)</t>
  </si>
  <si>
    <t>Results 3.5 (Outcomes)</t>
  </si>
  <si>
    <t>14.6%</t>
  </si>
  <si>
    <t>with 1-year overall mortality of 14.6% (6/41 patients)</t>
  </si>
  <si>
    <t>Results 3.5</t>
  </si>
  <si>
    <t>34.2% (11/14 IV-&gt;oral TMP-SMX; 3/14 to another agent)</t>
  </si>
  <si>
    <t>Treatment was changed in 14 (34.2%) patients: in 11 (of 14, 78.6%) patients from intravenous to orally administered TMP-SMX and in 3 (21.4%) patients from TMP-SMX to another agent</t>
  </si>
  <si>
    <t>Results 3.3</t>
  </si>
  <si>
    <t>Mortality - other (specify): in-hospital/case-fatality</t>
  </si>
  <si>
    <t>hospital course</t>
  </si>
  <si>
    <t>1 of 5 died (Case 2)</t>
  </si>
  <si>
    <t>All four children recovered... Case 1, 3, 4 and 5 were cured and Case 2 was dead (Table 3)</t>
  </si>
  <si>
    <t>Results 3.6</t>
  </si>
  <si>
    <t>4 of 5 cured</t>
  </si>
  <si>
    <t>All ﬁve children were treated with Trimethoprim-sulfamethoxazole (TMP-SMX) in combination with Caspofungin and corresponding symptomatic treatment. Four patients were cured and one patient died.</t>
  </si>
  <si>
    <t>Abstract/Table 3</t>
  </si>
  <si>
    <t>all 5 mechanically ventilated</t>
  </si>
  <si>
    <t>Five children developed respiratory distress within 3_4 days after the onset of the disease and were mechanically assisted with ventilation</t>
  </si>
  <si>
    <t>Results 3.2</t>
  </si>
  <si>
    <t>Other (specify): unfavorable composite (death or ICU transfer)</t>
  </si>
  <si>
    <t>66.67% unfavorable</t>
  </si>
  <si>
    <t>The outcome turned out to be unfavorable in 12 out of 18 patients (66.7%), thus confirming the high mortality rate in these patients reported in literature</t>
  </si>
  <si>
    <t>Results/Conclusions</t>
  </si>
  <si>
    <t>unfavorable = death or transfer to ICU (composite)</t>
  </si>
  <si>
    <t>69.23% unfavorable among caspofungin recipients</t>
  </si>
  <si>
    <t>NR (no statistical comparison vs non-caspofungin)</t>
  </si>
  <si>
    <t>Caspofungin was administered to 13 out of 18 of patients, and the outcome turned out to be unfavorable for 9/13 patients</t>
  </si>
  <si>
    <t>Discussion (p.74)</t>
  </si>
  <si>
    <t>no per-arm comparison vs the 5 not given caspofungin</t>
  </si>
  <si>
    <t>90 days from anti-PCP therapy start</t>
  </si>
  <si>
    <t>44.0%; weighted HR 1.01 per 100 mg cumulative prednisone-equivalent (95% CI 1.00-1.02), P=.006 (higher dose = higher mortality)</t>
  </si>
  <si>
    <t>MSM with stabilized IPTW (baseline covariates + time-varying severity)</t>
  </si>
  <si>
    <t>The overall 90-day mortality rate was high, with 165 patients (44.0%) dying within 90 days of PCP treatment initiation.</t>
  </si>
  <si>
    <t>Results/Table 1/Table 2</t>
  </si>
  <si>
    <t>primary outcome</t>
  </si>
  <si>
    <t>132</t>
  </si>
  <si>
    <t>35.2%; weighted HR 1.01 (95% CI 1.00-1.02), P=.11</t>
  </si>
  <si>
    <t>MSM/IPTW</t>
  </si>
  <si>
    <t>30-d  132 (35.2)</t>
  </si>
  <si>
    <t>during hospitalization</t>
  </si>
  <si>
    <t>211</t>
  </si>
  <si>
    <t>56.3%</t>
  </si>
  <si>
    <t>Overall, 211 patients (56.3%) were admitted to the ICU during the hospitalization.</t>
  </si>
  <si>
    <t>during course (patients not intubated at baseline)</t>
  </si>
  <si>
    <t>316</t>
  </si>
  <si>
    <t>need for intubation 15.5%; weighted HR 0.99 (95% CI 0.97-1.02), P=.6</t>
  </si>
  <si>
    <t>Need for intubation  49/316 (15.5)</t>
  </si>
  <si>
    <t>among 316 not intubated at baseline</t>
  </si>
  <si>
    <t>Other (specify): liberation from advanced respiratory support</t>
  </si>
  <si>
    <t>during course</t>
  </si>
  <si>
    <t>169</t>
  </si>
  <si>
    <t>58.0%; weighted HR 1.00 (95% CI 0.98-1.02), P=.9</t>
  </si>
  <si>
    <t>Liberation from HFNC, NIV, IMV, or ECMO  98/169 (58.0)</t>
  </si>
  <si>
    <t>end of PCP treatment</t>
  </si>
  <si>
    <t>61.9%; overall between-group P=0.001</t>
  </si>
  <si>
    <t>Positive response rate[n (%)]  54(58.1%)  11(61.9%)  33(76.7%)  10(34.5%)  0.001</t>
  </si>
  <si>
    <t>76.7% (best); P=0.001 across groups; multivariate OR anti-PCP regimen 5.87 (95% CI 1.87-18.38), P=0.002</t>
  </si>
  <si>
    <t>The patients who received initial caspofungin combination with TMP/SMZ had the best positive response rate (76.74%) compared to others (p = 0.001).</t>
  </si>
  <si>
    <t>Abstract/Table 2/Table 3</t>
  </si>
  <si>
    <t>34.5%</t>
  </si>
  <si>
    <t>90 days all-cause</t>
  </si>
  <si>
    <t>48.6%; vs Group 2 P=0.322 (abstract)</t>
  </si>
  <si>
    <t>90-day mortality [n (%)]  46(49.5%)  10(48.6%)  17(39.5%)  19(65.5%)  0.095</t>
  </si>
  <si>
    <t>39.5%; vs salvage Group 3 (65.51%) P=0.024; vs monotherapy P=0.322; overall P=0.095</t>
  </si>
  <si>
    <t>the group that received initial caspofungin combined with TMP/SMZ had a 90-day all-cause mortality rate (39.53%) that was significantly different from that of the shift group (65.51%, p = 0.024), but this rate showed no statistically significant difference compared with that in the monotherapy group (48.62%, p = 0.322)</t>
  </si>
  <si>
    <t>Abstract/Table 2</t>
  </si>
  <si>
    <t>65.5%; vs Group 2 P=0.024</t>
  </si>
  <si>
    <t>during ICU course</t>
  </si>
  <si>
    <t>invasive mechanical ventilation 52.4% (overall P=0.168)</t>
  </si>
  <si>
    <t>Invasive mechanical ventilation [n (%)]  40(43.0%)  11(52.4%)  14(32.6%)  15(51.7%)  0.168</t>
  </si>
  <si>
    <t>invasive mechanical ventilation 32.6%</t>
  </si>
  <si>
    <t>invasive mechanical ventilation 51.7%</t>
  </si>
  <si>
    <t>Whole cohort</t>
  </si>
  <si>
    <t>30.11% overall; no significant between-group difference; no serious caspofungin events</t>
  </si>
  <si>
    <t>Adverse events occurred in 28 patients (30.11%) and included erythrocytopenia (8.6%), leukocytopenia (8.6%), thrombocytopenia (13.98%), elevated liver enzymes (10.5%), renal dysfunction (18.28%), nausea and vomiting (5.38%) and drug eruption (3.23%)... There were no serious events caused by caspofungin therapy.</t>
  </si>
  <si>
    <t>Results (Incidence of adverse events)</t>
  </si>
  <si>
    <t>AEs reported for whole cohort, not split by group</t>
  </si>
  <si>
    <t>39.2% vs 51.4% vs 65.3% across groups, p=0.041</t>
  </si>
  <si>
    <t>Mortality, n (%) 31 (39.2%) 18 (51.4%) 32 (65.3%) 81 (49.7%) 0.0407</t>
  </si>
  <si>
    <t>51.4%; overall p=0.041</t>
  </si>
  <si>
    <t>65.3%; overall p=0.041</t>
  </si>
  <si>
    <t>54.4% vs 77.1% vs 79.6%, p=0.013</t>
  </si>
  <si>
    <t>Invasive Mechanical ventilation, n (%) 43 (54.4%) 27 (77.1%) 39 (79.6%) 109 (66.9%) 0.0131</t>
  </si>
  <si>
    <t>77.1%; overall p=0.013</t>
  </si>
  <si>
    <t>79.6%; overall p=0.013</t>
  </si>
  <si>
    <t>Mortality - other (specify): in-hospital, invasively ventilated subgroup</t>
  </si>
  <si>
    <t>in-hospital (IMV subset)</t>
  </si>
  <si>
    <t>69.8% vs 66.7% vs 82.1%, p=0.491</t>
  </si>
  <si>
    <t>Mortality, n (%) 30 (69.8%) 18 (66.7%) 32 (82.1%) 80 (73.4%) 0.491</t>
  </si>
  <si>
    <t>Subgroup of 109 mechanically ventilated patients</t>
  </si>
  <si>
    <t>66.7%; overall p=0.491</t>
  </si>
  <si>
    <t>82.1%; overall p=0.491</t>
  </si>
  <si>
    <t>OR 1.27 (0.78-2.05), p=0.336 (unmatched); matched OR 0.92 (0.52-1.62), p=0.772</t>
  </si>
  <si>
    <t>propensity matching (non-parsimonious PS)</t>
  </si>
  <si>
    <t>90-day mortality rate 65 (27.8) 38 (32.8) 1.27 (0.78 to 2.05) 0.336</t>
  </si>
  <si>
    <t>Matched: 36/109 (33.0%) no steroids vs 34/109 (31.2%) steroids</t>
  </si>
  <si>
    <t>OR 1.27 (0.78-2.05), p=0.336 (unmatched)</t>
  </si>
  <si>
    <t>propensity matching</t>
  </si>
  <si>
    <t>Matched: 34/109 (31.2%)</t>
  </si>
  <si>
    <t>OR 1.53 (0.90-2.58), p=0.111</t>
  </si>
  <si>
    <t>Mechanical ventilation 45 (19.2) 31 (26.7) 1.53 (0.90 to 2.58) 0.111</t>
  </si>
  <si>
    <t>during hospitalisation</t>
  </si>
  <si>
    <t>187</t>
  </si>
  <si>
    <t>OR 2.15 (1.27-3.66), p=0.004</t>
  </si>
  <si>
    <t>ICU admission after PcP diagnosis 53 (28.3) 40 (46.0) 2.15 (1.27 to 3.66) 0.004</t>
  </si>
  <si>
    <t>ICU-admission denominators reflect patients not already in ICU at diagnosis; percentages 28.3% and 46.0%</t>
  </si>
  <si>
    <t>87</t>
  </si>
  <si>
    <t>46.0% of AC subgroup</t>
  </si>
  <si>
    <t>Bacterial HCAI OR 1.30 (0.68-2.43), p=0.421</t>
  </si>
  <si>
    <t>Bacterial HCAI 29 (12.4) 18 (15.5) 1.30 (0.68 to 2.43) 0.421</t>
  </si>
  <si>
    <t>Healthcare-associated infection</t>
  </si>
  <si>
    <t>25.4% overall; 58% if ICU; HIV 12.8%, SOT 38.5%, ChTx 44.7%, IS/RD 35.7%</t>
  </si>
  <si>
    <t>in-hospital mortality (%) 61 (25.4%) 16 (12.8%) 15 (38.5%) 17 (44.7%) 10 (35.7%) 3 (30%)</t>
  </si>
  <si>
    <t>Overall and by underlying-disease subgroup</t>
  </si>
  <si>
    <t>88</t>
  </si>
  <si>
    <t>36.7%</t>
  </si>
  <si>
    <t>Mechanical ventilation 88 (36.7%)</t>
  </si>
  <si>
    <t>41.7%; mortality 58% among ICU</t>
  </si>
  <si>
    <t>ICU admission 100 (41.7%)</t>
  </si>
  <si>
    <t>Mortality - other (specify): TMP-SMX &lt;15 vs &gt;=15 mg/kg/day</t>
  </si>
  <si>
    <t>overall survival</t>
  </si>
  <si>
    <t>HR 1.80 (95% CI 1.10-3.44), p=0.02 for dose &lt;15 mg/kg/day</t>
  </si>
  <si>
    <t>univariate (not independent in multivariable)</t>
  </si>
  <si>
    <t>Of note, these patients had a higher mortality risk (HR 1.80 (95% CI 1.10-3.44), p = 0.02).</t>
  </si>
  <si>
    <t>Treatment patterns and outcome</t>
  </si>
  <si>
    <t>Per-arm event counts for dose subgroups not reported; 65/224 received &lt;15 mg/kg/day</t>
  </si>
  <si>
    <t>397</t>
  </si>
  <si>
    <t>23.6% vs 22.5% crude, RD -1.1% (-3.6 to 1.5), p=0.403; PS-weighted RD -1.4% (-4.5 to 1.7), p=0.388</t>
  </si>
  <si>
    <t>propensity-score overlap weighting</t>
  </si>
  <si>
    <t>There was no significant difference in in-hospital mortality among the crude populations (23.6% vs. 22.5%; risk difference (RD), - 1.1%; 95% confidence interval (CI), - 3.6-1.5%; P=0.403)</t>
  </si>
  <si>
    <t>uncertain - event count computed from 23.6% of 1682; only % reported</t>
  </si>
  <si>
    <t>623</t>
  </si>
  <si>
    <t>22.5% crude; PS-weighted RD -1.4%, p=0.388</t>
  </si>
  <si>
    <t>uncertain - event count computed from 22.5% of 2767; only % reported</t>
  </si>
  <si>
    <t>completion of initial treatment (&gt;14d, no interruption, live discharge)</t>
  </si>
  <si>
    <t>Completion 8.9% (conv) vs 12.9% (low) crude, RD 3.9% (2.0-5.9); PS-weighted RD 4.6% (2.3-6.9), p&lt;0.001</t>
  </si>
  <si>
    <t>low-dose TMP-SMX was associated with increased completion of initial treatment (8.9% vs. 12.9%; RD, 3.9%; 95% CI, 2.0-5.9%; P&lt;0.001)</t>
  </si>
  <si>
    <t>Completion is inverse of failure; per-arm counts not reported</t>
  </si>
  <si>
    <t>completion of initial treatment</t>
  </si>
  <si>
    <t>Completion 12.9% crude; PS-weighted RD 4.6%, p&lt;0.001</t>
  </si>
  <si>
    <t>Use of alternative agents 32.2% (conv) vs 28.3% (low) crude, RD -3.8% (-6.6 to -1.1); PS-weighted RD -4.0% (-7.4 to -0.6), p=0.020</t>
  </si>
  <si>
    <t>reduced use of alternative agents (32.2% vs. 28.3%; RD, - 3.8%; 95% CI, - 6.6 to - 1.1%; P=0.007)</t>
  </si>
  <si>
    <t>Alternative agents = atovaquone, clindamycin+primaquine, pentamidine</t>
  </si>
  <si>
    <t>28.3% crude; PS-weighted RD -4.0%, p=0.020</t>
  </si>
  <si>
    <t>345</t>
  </si>
  <si>
    <t>crude 28.7% vs 20.5%, RD 8.1% (0.5-15.8), p=0.036; PS-weighted 26.9% vs 22.2%, RD 4.6% (-6.1 to 15.3), p=0.398</t>
  </si>
  <si>
    <t>administration of TMP-SMX with echinocandins was not associated with improved in-hospital mortality (22.2 % vs. 26.9 %; risk difference, 4.6 %; 95 % confidence interval, - 6.1 %-15.3 %; P = 0.398)</t>
  </si>
  <si>
    <t>uncertain - event count computed from crude 28.7% of 1202</t>
  </si>
  <si>
    <t>crude 20.5%; PS-weighted 22.2%, RD 4.6%, p=0.398</t>
  </si>
  <si>
    <t>In the unadjusted population, mortality in patients receiving TMP-SMX with echinocandins was higher than that in patients receiving TMP-SMX alone (20.5 % vs. 28.7 %; risk difference, 8.1 %; 95 % confidence interval, 0.5 %-15.8 %; P = 0.036)</t>
  </si>
  <si>
    <t>uncertain - event count computed from crude 20.5% of 122; text wording 'higher' appears erroneous</t>
  </si>
  <si>
    <t>1200</t>
  </si>
  <si>
    <t>crude 22.0% vs 41.8%, RD 19.7% (15.5-23.9), p&lt;0.001; PS-weighted 23.6% vs 40.1%, RD 16.5% (10.8-22.2), p&lt;0.001; IV analysis RD 16.4%</t>
  </si>
  <si>
    <t>propensity-score overlap weighting; instrumental variable</t>
  </si>
  <si>
    <t>Pentamidine treatment was associated with higher in-hospital mortality [22.0% vs. 41.8%; risk difference (RD), 19.7%; 95% confidence interval (CI), 15.5-23.9%; p&lt;0.001]</t>
  </si>
  <si>
    <t>uncertain - event count computed from crude 22.0% of 5456</t>
  </si>
  <si>
    <t>173</t>
  </si>
  <si>
    <t>crude 41.8%; PS-weighted 40.1%, RD 16.5%, p&lt;0.001</t>
  </si>
  <si>
    <t>uncertain - event count computed from crude 41.8% of 414</t>
  </si>
  <si>
    <t>completion of initial treatment (&gt;14d, no interruption, alive at discharge)</t>
  </si>
  <si>
    <t>Completion 10.8% (TMP-SMX) vs 5.1% (pentamidine) crude, RD -5.7% (-8.7 to -2.6); PS-weighted RD -4.7% (-7.3 to -2.1), p&lt;0.001</t>
  </si>
  <si>
    <t>decreased completion of initial treatment (10.8% vs. 5.1%; RD, -5.7%; 95% CI, -8.7 to -2.6%; p&lt;0.001)</t>
  </si>
  <si>
    <t>Lower completion in pentamidine arm; per-arm counts not reported</t>
  </si>
  <si>
    <t>Completion 5.1% crude; PS-weighted RD -4.7%, p&lt;0.001</t>
  </si>
  <si>
    <t>in-hospital (all-cause)</t>
  </si>
  <si>
    <t>42.22% vs 24.48% (combo), P=0.003; combo OR 0.402 (0.225-0.715), P=0.002</t>
  </si>
  <si>
    <t>multivariable (CD4, age, regimen)</t>
  </si>
  <si>
    <t>lower all-cause in-hospital mortality rate (24.48%, n = 143 vs. 42.22%, n = 135; P = 0.003)</t>
  </si>
  <si>
    <t>Per-group mortality: g1 57 (42.22%), g2 14 (35.90%), g3 19 (24.05%), g4 2 (8.00%)</t>
  </si>
  <si>
    <t>24.48% vs 42.22%, P=0.003; OR 0.402 (0.225-0.715), P=0.002</t>
  </si>
  <si>
    <t>Sum of groups 2-4 deaths: 14+19+2=35</t>
  </si>
  <si>
    <t>37.78% vs 59.44% (combo), P&lt;0.001</t>
  </si>
  <si>
    <t>a better positive response rate (59.44%, n = 143 vs. 37.78%, n = 135; P &lt; 0.001)</t>
  </si>
  <si>
    <t>Positive response defined as fewer symptoms, better PaO2, resolution on imaging</t>
  </si>
  <si>
    <t>85</t>
  </si>
  <si>
    <t>59.44% vs 37.78%, P&lt;0.001</t>
  </si>
  <si>
    <t>Sum of groups 2-4 responders: 18+48+19=85</t>
  </si>
  <si>
    <t>50.37% vs 46.15%, p=0.884 (all 4 groups)</t>
  </si>
  <si>
    <t>Mechanical ventilation [n (%)] 134 (48.20) 68 (50.37) 19 (48.72) 36 (45.57) 11 (44.00) 0.884</t>
  </si>
  <si>
    <t>Combo groups 2-4: 19+36+11=66</t>
  </si>
  <si>
    <t>46.15% vs 50.37%, p=0.884</t>
  </si>
  <si>
    <t>no additional severe adverse events from caspofungin; none discontinued caspofungin</t>
  </si>
  <si>
    <t>There were no serious events caused by caspofungin alone, and no patients discontinued caspofungin due to clinical or laboratory adverse events.</t>
  </si>
  <si>
    <t>Adverse events</t>
  </si>
  <si>
    <t>Whole-cohort TMP/SMZ AEs: GI upset 175 (62.95%), hepatic/renal toxicity 94 (33.81%), rash 28 (10.07%), marrow suppression 14 (5.04%)</t>
  </si>
  <si>
    <t>Mortality - other (specify): 60-day PCP mortality</t>
  </si>
  <si>
    <t>22.2% (14 nonsurvivors / 63); PCP-attributable (2 non-PCP deaths excluded)</t>
  </si>
  <si>
    <t>There were 14 PCP nonsurvivors and 49 survivors.</t>
  </si>
  <si>
    <t>60-day PCP mortality; consistent with reported 22.2% rate in discussion</t>
  </si>
  <si>
    <t>beta-D-glucan response</t>
  </si>
  <si>
    <t>days 7 and 14 vs baseline</t>
  </si>
  <si>
    <t>Elevated BDG at day 7 (22.7% surv vs 30.8% nonsurv, p=0.715) and day 14 (7.9% vs 25%, p=0.203); consecutive rise 0% vs 25%, p=0.033; baseline BDG OR 1.0 (0.999-1.001), p=0.829</t>
  </si>
  <si>
    <t>univariate/multivariable logistic</t>
  </si>
  <si>
    <t>Increased in b-Dglucan 22.7% (10/44) 30.8% (4/13) 0.715 ... Consecutive increase ... Increased in b-Dglucan 0% (0/33) 25% (2/8) 0.033</t>
  </si>
  <si>
    <t>BDG not associated with baseline mortality; consecutive rise associated but SP-D was the independent predictor</t>
  </si>
  <si>
    <t>overall (2-month follow-up)</t>
  </si>
  <si>
    <t>9.62% vs 20%, P=0.118</t>
  </si>
  <si>
    <t>unadjusted</t>
  </si>
  <si>
    <t>the echinocandins/TMP-SMX and clindamycin treatment group exhibited a mortality rate of 9.62% (5/52), while those within the TMP-SMX and clindamycin treatment group exhibited a mortality rate of 20% (14/70)</t>
  </si>
  <si>
    <t>overall mortality</t>
  </si>
  <si>
    <t>the TMP-SMX and clindamycin treatment group exhibited a mortality rate of 20% (14/70)</t>
  </si>
  <si>
    <t>PaO2/FiO2 &gt;200 subgroup</t>
  </si>
  <si>
    <t>4.44% vs 18.18%, P=0.035</t>
  </si>
  <si>
    <t>treatment with echinocandins combined with TMP-SMZ and clindamycin significantly reduced their mortality rate (4.44% (2/45) vs. 18.18% (10/55), P = 0:035)</t>
  </si>
  <si>
    <t>mild (PaO2/FiO2&gt;200) subgroup</t>
  </si>
  <si>
    <t>18.18% (10/55; P = 0:035)</t>
  </si>
  <si>
    <t>PaO2/FiO2 &lt;=200 subgroup</t>
  </si>
  <si>
    <t>42.86% vs 26.67% (per flowchart/Discussion), P=0.630</t>
  </si>
  <si>
    <t>7 cases combined with echinocandin treatment ... 3 cases dead 4 cases survive</t>
  </si>
  <si>
    <t>Figure 1 flowchart / Discussion</t>
  </si>
  <si>
    <t>uncertain - abstract/section 3.2 report combined 26.67% (4/15) which contradicts flowchart and Discussion (3/7=42.86%); flowchart values recorded</t>
  </si>
  <si>
    <t>26.67% vs 42.86% (per flowchart/Discussion), P=0.630</t>
  </si>
  <si>
    <t>15 cases without combined treatment ... 4 cases dead 11 cases survive</t>
  </si>
  <si>
    <t>uncertain - see combined-arm note; labels swapped in abstract/section 3.2</t>
  </si>
  <si>
    <t>75.0% vs 59.6%, P=0.049; high-dose steroid multivariable OR 2.29 (separate)</t>
  </si>
  <si>
    <t>unadjusted (subgroup)</t>
  </si>
  <si>
    <t>Died during hospitalization 45 (75.0) 56 (59.6) 0.049</t>
  </si>
  <si>
    <t>75.0% vs 59.6%, P=0.049</t>
  </si>
  <si>
    <t>80.0% vs 64.9%, P=0.044</t>
  </si>
  <si>
    <t>Invasive ventilation during hospitalization 48 (80.0) 61 (64.9) 0.044</t>
  </si>
  <si>
    <t>Other (specify): shock</t>
  </si>
  <si>
    <t>56.7% vs 41.5%, P=0.066</t>
  </si>
  <si>
    <t>Shock during hospitalization 34 (56.7) 39 (41.5) 0.066</t>
  </si>
  <si>
    <t>Combination (other, specify): TMP-SMX-based + low-dose corticosteroid</t>
  </si>
  <si>
    <t>25.0% vs 19.4%, P=0.62</t>
  </si>
  <si>
    <t>In-hospital mortality 26 (21.7) 12 (25.0) 14 (19.4) 0.62</t>
  </si>
  <si>
    <t>Combination (other, specify): TMP-SMX-based + high-dose corticosteroid</t>
  </si>
  <si>
    <t>30 day</t>
  </si>
  <si>
    <t>HR 0.91 (0.43-1.90) high vs low, P=0.80; IPTW HR 0.80 (0.33-1.93) P=0.62</t>
  </si>
  <si>
    <t>IPTW (age, sex, SOFA-resp, comorbidities, immunosuppression, prophylaxis)</t>
  </si>
  <si>
    <t>30-day mortality 37 (30.8) 17 (35.4) 20 (27.8) 0.49</t>
  </si>
  <si>
    <t>IPTW</t>
  </si>
  <si>
    <t>HR 1.06 (0.56-2.00) high vs low, P=0.86; IPTW HR 1.01 (0.47-2.17) P=0.97</t>
  </si>
  <si>
    <t>90-day mortality 50 (41.7) 22 (45.8) 28 (38.9) 0.57</t>
  </si>
  <si>
    <t>hospitalization</t>
  </si>
  <si>
    <t>OR 0.78 (0.27-2.20) P=0.63</t>
  </si>
  <si>
    <t>ICU admission rate 36 (30.0) 16 (33.3) 20 (27.8) 0.66</t>
  </si>
  <si>
    <t>day 5</t>
  </si>
  <si>
    <t>tracheal intubation day5; OR 5.13 (0.70-57.37) P=0.13</t>
  </si>
  <si>
    <t>Tracheal intubation rate on day 5 9 (7.5) 3 (6.2) 6 (8.3) 0.94</t>
  </si>
  <si>
    <t>intubation on day 5</t>
  </si>
  <si>
    <t>adjusted HR 2.08 (0.89-4.87) P=0.091; propensity HR 2.56 (0.96-6.81) P=0.06; overall 30-day mortality 22.9% (95% CI 18.2-27.4)</t>
  </si>
  <si>
    <t>baseline SOFA-resp / propensity match</t>
  </si>
  <si>
    <t>30-day all-cause mortality 323 2.08 (0.89 to 4.87) .091 162 2.56 (0.96 to 6.81) .06</t>
  </si>
  <si>
    <t>per-arm death counts NR; effect size is HR (no early steroids reference)</t>
  </si>
  <si>
    <t>reference; overall cohort 30-day mortality 22.9%</t>
  </si>
  <si>
    <t>Overall 30-day mortality was 22.9% (95% CI, 18.2-27.4)</t>
  </si>
  <si>
    <t>per-arm death counts NR</t>
  </si>
  <si>
    <t>adjusted HR 3.02 (1.05-8.65) P=0.049; propensity HR 1.75 (0.58-5.32) P=0.32</t>
  </si>
  <si>
    <t>baseline SOFA-resp / propensity</t>
  </si>
  <si>
    <t>ICU admission 175 3.02 (1.05 to 8.65) .049 135 1.75 (0.58 to 5.32) .32</t>
  </si>
  <si>
    <t>250</t>
  </si>
  <si>
    <t>need for MV adjusted HR 5.47 (0.73-41.0) P=0.098; propensity HR 5.42 (0.69-42.58) P=0.11</t>
  </si>
  <si>
    <t>Need for MV 250 5.47 (0.73 to 41.0) .098 156 5.42 (0.69 to 42.58) .11</t>
  </si>
  <si>
    <t>at discharge</t>
  </si>
  <si>
    <t>100% recovery</t>
  </si>
  <si>
    <t>All patients recovered well and were discharged from hospital.</t>
  </si>
  <si>
    <t>Abstract/Outcomes</t>
  </si>
  <si>
    <t>0% (all discharged)</t>
  </si>
  <si>
    <t>All patients had fully recovered before discharge.</t>
  </si>
  <si>
    <t>Outcomes</t>
  </si>
  <si>
    <t>no deaths reported</t>
  </si>
  <si>
    <t>course</t>
  </si>
  <si>
    <t>all had respiratory failure but none required invasive MV</t>
  </si>
  <si>
    <t>All patients developed respiratory failure and received oxygen therapy ... No patient received invasive mechanical ventilation.</t>
  </si>
  <si>
    <t>Results (Patient characteristics)</t>
  </si>
  <si>
    <t>invasive MV events = 0; all had respiratory failure requiring oxygen</t>
  </si>
  <si>
    <t>28 day (from ICU admission)</t>
  </si>
  <si>
    <t>61.3% vs 37.1%, P=0.033; monotherapy adj HR 2.97 (1.68-5.25) P&lt;0.001</t>
  </si>
  <si>
    <t>IPTW / Cox (sex, age, CKD, solid tumor, CT, SOFA, time to ICU, MV, corticosteroid)</t>
  </si>
  <si>
    <t>28 day-mortality, n (%) 52 (43.3) 19 (61.3) 33 (37.1) 0.033</t>
  </si>
  <si>
    <t>28-day mortality</t>
  </si>
  <si>
    <t>37.1% vs 61.3%, P=0.033; combination protective (ref for monotherapy HR 2.97)</t>
  </si>
  <si>
    <t>IPTW / Cox</t>
  </si>
  <si>
    <t>83.9% vs 82.0%, P=1.000</t>
  </si>
  <si>
    <t>Mechanical ventilation 99 (82.5) 26 (83.9) 73 (82.0) 1.000</t>
  </si>
  <si>
    <t>82.0% vs 83.9%, P=1.000</t>
  </si>
  <si>
    <t>39.2% vs 51.4% vs 65.3%, P=0.0407</t>
  </si>
  <si>
    <t>unadjusted (3-group)</t>
  </si>
  <si>
    <t>Mortality, n (%) 31 (39.2%) 18 (51.4%) 32 (65.3%) 0.0407</t>
  </si>
  <si>
    <t>51.4% (39.2% vs 51.4% vs 65.3%, P=0.0407)</t>
  </si>
  <si>
    <t>65.3% (39.2% vs 51.4% vs 65.3%, P=0.0407)</t>
  </si>
  <si>
    <t>54.4% vs 77.1% vs 79.6%, P=0.0131</t>
  </si>
  <si>
    <t>Invasive Mechanical ventilation, n (%) 43 (54.4%) 27 (77.1%) 39 (79.6%) 0.0131</t>
  </si>
  <si>
    <t>77.1% (P=0.0131)</t>
  </si>
  <si>
    <t>79.6% (P=0.0131)</t>
  </si>
  <si>
    <t>in-hospital, invasive-MV subgroup</t>
  </si>
  <si>
    <t>69.8% vs 66.7% vs 82.1%, P=0.491</t>
  </si>
  <si>
    <t>unadjusted (MV subgroup n=109)</t>
  </si>
  <si>
    <t>Mortality, n (%) 30 (69.8%) 18 (66.7%) 32 (82.1%) 0.491</t>
  </si>
  <si>
    <t>invasive mechanical ventilation subgroup</t>
  </si>
  <si>
    <t>66.7% (P=0.491)</t>
  </si>
  <si>
    <t>unadjusted (MV subgroup)</t>
  </si>
  <si>
    <t>lowest mortality in MV subgroup, NS</t>
  </si>
  <si>
    <t>82.1% (P=0.491)</t>
  </si>
  <si>
    <t>invasive MV subgroup</t>
  </si>
  <si>
    <t>33.33% vs 60.00%, P=0.580</t>
  </si>
  <si>
    <t>All-cause hospital mortality, n (%) 6 (42.86) 3 (33.33) 3 (60.00) 0.580</t>
  </si>
  <si>
    <t>Table III</t>
  </si>
  <si>
    <t>60.00% vs 33.33%, P=0.580</t>
  </si>
  <si>
    <t>88.89% vs 40.00%, P=0.095</t>
  </si>
  <si>
    <t>Positive response rate, n (%) 10 (71.43) 8 (88.89) 2 (40.00) 0.095</t>
  </si>
  <si>
    <t>positive response to PCP treatment</t>
  </si>
  <si>
    <t>40.00% vs 88.89%, P=0.095</t>
  </si>
  <si>
    <t>positive response</t>
  </si>
  <si>
    <t>50% vs 100%, P=0.464</t>
  </si>
  <si>
    <t>All-cause hospital mortality, n (%) 6 (66.67) 3 (50.00) 3 (100.0) 0.464</t>
  </si>
  <si>
    <t>100% vs 50%, P=0.464</t>
  </si>
  <si>
    <t>invasive-MV subgroup</t>
  </si>
  <si>
    <t>83.33% vs 0%, P=0.048</t>
  </si>
  <si>
    <t>Positive response rate, n (%) 5 (55.56) 5 (83.33) 0 (0) 0.048</t>
  </si>
  <si>
    <t>invasive MV subgroup response</t>
  </si>
  <si>
    <t>0% vs 83.33%, P=0.048</t>
  </si>
  <si>
    <t>4  Beta-D-glucan (1,3-beta-D-glucan)</t>
  </si>
  <si>
    <t>Arm / node</t>
  </si>
  <si>
    <t>BDG metric</t>
  </si>
  <si>
    <t>Value</t>
  </si>
  <si>
    <t>Units</t>
  </si>
  <si>
    <t>IQR / range / SD</t>
  </si>
  <si>
    <t>N with BDG</t>
  </si>
  <si>
    <t>Assay</t>
  </si>
  <si>
    <t>Positivity cut-off (verbatim)</t>
  </si>
  <si>
    <t>Timepoint</t>
  </si>
  <si>
    <t>Association with outcome (verbatim)</t>
  </si>
  <si>
    <t>Baseline median</t>
  </si>
  <si>
    <t>285</t>
  </si>
  <si>
    <t>pg/mL</t>
  </si>
  <si>
    <t>IQR 190-410</t>
  </si>
  <si>
    <t>Fungitell</t>
  </si>
  <si>
    <t>&gt;=80 pg/mL positive</t>
  </si>
  <si>
    <t>Day 0</t>
  </si>
  <si>
    <t>"Higher baseline BDG associated with 30-day mortality (p=0.03)"</t>
  </si>
  <si>
    <t>"median baseline BDG 285 pg/mL (IQR 190-410)"</t>
  </si>
  <si>
    <t>p.5, Table 2</t>
  </si>
  <si>
    <t>whole cohort</t>
  </si>
  <si>
    <t>beta-D-glucan not reported in this study</t>
  </si>
  <si>
    <t>354</t>
  </si>
  <si>
    <t>153.2-478.4</t>
  </si>
  <si>
    <t>plasma beta-D-glucan</t>
  </si>
  <si>
    <t>at diagnosis</t>
  </si>
  <si>
    <t>Plasma beta-D-glucan was measured in 27 patients of the cohort (16.6%), and all results were positive with elevated levels (median 354 pg/mL [IQR: 153.2-478.4]).</t>
  </si>
  <si>
    <t>measured in only 27/162</t>
  </si>
  <si>
    <t>Baseline median (positive subset)</t>
  </si>
  <si>
    <t>11.26</t>
  </si>
  <si>
    <t>10.57-110</t>
  </si>
  <si>
    <t>serum beta-D-glucan</t>
  </si>
  <si>
    <t>&gt;=7 pg/mL</t>
  </si>
  <si>
    <t>baseline</t>
  </si>
  <si>
    <t>no significant correlation with quantitative DNA PCR count (Spearman rho=0.75, P=0.052)</t>
  </si>
  <si>
    <t>Serum beta-D-glucan was positive in six out of seven cases, with a median (IQR) of 11.26 (10.57-110) pg/mL (cut-off &gt;=7 pg/mL)</t>
  </si>
  <si>
    <t>only 7 patients tested</t>
  </si>
  <si>
    <t>beta-D-glucan not reported as an outcome/biomarker in this study</t>
  </si>
  <si>
    <t>beta-D-glucan (not tested in our centers probably due to lack of recommendations)</t>
  </si>
  <si>
    <t>Discussion</t>
  </si>
  <si>
    <t>BDG explicitly not tested in study centres</t>
  </si>
  <si>
    <t>Baseline median (G-test)</t>
  </si>
  <si>
    <t>75.1</t>
  </si>
  <si>
    <t>26.1-246.9</t>
  </si>
  <si>
    <t>(1,3)-beta-D-glucan (G-test)</t>
  </si>
  <si>
    <t>within 24h baseline</t>
  </si>
  <si>
    <t>4 of 7 deceased patients had abnormal G-test (&gt;20000 in some); all abnormal G-test received concomitant caspofungin</t>
  </si>
  <si>
    <t>G-test, pg/mL M(IQR) 75.1 (26.1, 246.9)</t>
  </si>
  <si>
    <t>Table 1/Table 5</t>
  </si>
  <si>
    <t>low group 75.1 [25.7-231.2], high group 81.8 [28.7-315.4], P=0.753</t>
  </si>
  <si>
    <t>265.0</t>
  </si>
  <si>
    <t>1,3-beta-D glucan</t>
  </si>
  <si>
    <t>on admission</t>
  </si>
  <si>
    <t>1,3 - beta - D glucan (pg/mL) 265.0 207.0 0.887</t>
  </si>
  <si>
    <t>207.0</t>
  </si>
  <si>
    <t>no significant baseline difference (P=0.887)</t>
  </si>
  <si>
    <t>Baseline median; serial change</t>
  </si>
  <si>
    <t>78.4</t>
  </si>
  <si>
    <t>28.5-281.8</t>
  </si>
  <si>
    <t>WAKO beta-D-glucan</t>
  </si>
  <si>
    <t>&gt;=11 pg/mL (inclusion)</t>
  </si>
  <si>
    <t>at diagnosis (before treatment)</t>
  </si>
  <si>
    <t>BDG significantly decreased after treatment (median 78.5 to 38.5, p=0.006)</t>
  </si>
  <si>
    <t>beta-D-glucan pg/mL 78.4 (28.5-281.8) ... The levels of beta-D-glucan significantly decreased after the treatment of PCP in both the ILD group (p=0.006) ... median value of the ILD group from 78.5 to 38.5 pg/mL</t>
  </si>
  <si>
    <t>Table 1/Fig 4</t>
  </si>
  <si>
    <t>BDG &gt;11 required for inclusion</t>
  </si>
  <si>
    <t>86.7</t>
  </si>
  <si>
    <t>46.8-240.0</t>
  </si>
  <si>
    <t>&gt;=11 pg/mL</t>
  </si>
  <si>
    <t>BDG decreased after treatment (median 95.0 to 27.0, p=0.001)</t>
  </si>
  <si>
    <t>non-ILD group from 95.0 to 27.0 pg/mL, p=0.001</t>
  </si>
  <si>
    <t>Baseline</t>
  </si>
  <si>
    <t>beta-D-glucan discussed only in pathophysiology intro; no per-patient BDG values reported</t>
  </si>
  <si>
    <t>Case</t>
  </si>
  <si>
    <t>serial beta-d-glucan monitoring and CT imaging are essential for treatment guidance</t>
  </si>
  <si>
    <t>BDG monitoring recommended but no numeric value for this patient reported</t>
  </si>
  <si>
    <t>beta-D-glucan not reported; diagnosis by staining/qPCR (Ct value)</t>
  </si>
  <si>
    <t>618</t>
  </si>
  <si>
    <t>240-1308</t>
  </si>
  <si>
    <t>FUNGITEC G test-MK (alkaline-kinetic chromogenic Limulus)</t>
  </si>
  <si>
    <t>20 (detection); 800 used for stratification</t>
  </si>
  <si>
    <t>Day 0 (diagnosis)</t>
  </si>
  <si>
    <t>High BDG (&gt;=800) predicts satisfactory caspofungin combination response</t>
  </si>
  <si>
    <t>(1, 3) Beta-D-Glucan, pg/mL 618 (240-1308)</t>
  </si>
  <si>
    <t>Cutoff of 800 pg/mL used to define subgroups</t>
  </si>
  <si>
    <t>527</t>
  </si>
  <si>
    <t>221-1185</t>
  </si>
  <si>
    <t>FUNGITEC G test-MK</t>
  </si>
  <si>
    <t>800</t>
  </si>
  <si>
    <t>BDG, pg/ml 618 (240-1308) ... 527 (221-1185) ... 834 (271-2003)</t>
  </si>
  <si>
    <t>21-day BDG mono 527 -&gt; 157 (p&lt;0.001)</t>
  </si>
  <si>
    <t>834</t>
  </si>
  <si>
    <t>271-2003</t>
  </si>
  <si>
    <t>834 (271-2003) ... 351 (151-675)</t>
  </si>
  <si>
    <t>21-day BDG combo 834 -&gt; 351 (p=0.028)</t>
  </si>
  <si>
    <t>BDG&gt;=800 subgroup</t>
  </si>
  <si>
    <t>1549</t>
  </si>
  <si>
    <t>1054-2410</t>
  </si>
  <si>
    <t>Combination associated with lower 3-mo mortality (20% vs 56%, P=0.010) and higher response (80% vs 38%, P&lt;0.001)</t>
  </si>
  <si>
    <t>(1, 3) Beta-D-Glucan, pg/mL ... 1549 (1054-2410)</t>
  </si>
  <si>
    <t>mono n=34, combo n=20</t>
  </si>
  <si>
    <t>BDG&lt;800 subgroup</t>
  </si>
  <si>
    <t>274</t>
  </si>
  <si>
    <t>145-519</t>
  </si>
  <si>
    <t>No combination benefit (mortality 27% vs 25%; response 53% vs 72%)</t>
  </si>
  <si>
    <t>274 (145-519)</t>
  </si>
  <si>
    <t>mono n=57, combo n=15</t>
  </si>
  <si>
    <t>BDG not reported; fungal load quantified by PCR cycle threshold (Ct ~26.7)</t>
  </si>
  <si>
    <t>Baseline median titer</t>
  </si>
  <si>
    <t>30.5</t>
  </si>
  <si>
    <t>7.1-83.0</t>
  </si>
  <si>
    <t>WAKO beta-glucan test</t>
  </si>
  <si>
    <t>detection 6.0 pg/mL (values &lt;6 -&gt; 3.0; &gt;600 -&gt; 600)</t>
  </si>
  <si>
    <t>At diagnosis</t>
  </si>
  <si>
    <t>Lower BDG positivity in non-HIV (72.7%)</t>
  </si>
  <si>
    <t>Serum beta-D glucan titer (pg/mL), median [IQR] ... 30.5 [7.1-83.0] 107.1 [50.5-200]</t>
  </si>
  <si>
    <t>BDG positive 32/44 (72.7%)</t>
  </si>
  <si>
    <t>107.1</t>
  </si>
  <si>
    <t>50.5-200</t>
  </si>
  <si>
    <t>detection 6.0 pg/mL</t>
  </si>
  <si>
    <t>Higher BDG positivity in HIV (93.5%), reflecting higher organism burden</t>
  </si>
  <si>
    <t>30.5 [7.1-83.0] 107.1 [50.5-200] &lt;0.001</t>
  </si>
  <si>
    <t>BDG positive 29/31 (93.5%)</t>
  </si>
  <si>
    <t>beta-D-glucan not measured/reported; diagnosis by morphology</t>
  </si>
  <si>
    <t>Diagnosis of PCP required minimally the characteristic or compatible lung shadows, combined with one or more of a raised plasma b-D-glucan level, microscopic demonstration of Pneumocystis and/or detection of Pneumocystis DNA</t>
  </si>
  <si>
    <t>Methods</t>
  </si>
  <si>
    <t>Raised beta-D-glucan used as a diagnostic criterion but no numeric BDG values reported</t>
  </si>
  <si>
    <t>beta-D-glucan not reported in this trial</t>
  </si>
  <si>
    <t>207.7</t>
  </si>
  <si>
    <t>121.95-319.79</t>
  </si>
  <si>
    <t>Fungus(1-3)-β-D-Glucan Test (Gold Mountainriver, Beijing)</t>
  </si>
  <si>
    <t>100 pg/mL</t>
  </si>
  <si>
    <t>Serum β-(1,3)-D-glucan, pg/mL, [median (IQR)] ... ST group 207.7(121.95-319.79)</t>
  </si>
  <si>
    <t>184.42</t>
  </si>
  <si>
    <t>111.60-267.78</t>
  </si>
  <si>
    <t>Fungus(1-3)-β-D-Glucan Test (Gold Mountainriver)</t>
  </si>
  <si>
    <t>MT group 184.42(111.60-267.78)</t>
  </si>
  <si>
    <t>BDG kinetics used to time GCS cessation (case report); peaked Day 13</t>
  </si>
  <si>
    <t>Non-survivor</t>
  </si>
  <si>
    <t>G-test median</t>
  </si>
  <si>
    <t>230</t>
  </si>
  <si>
    <t>6-495.6</t>
  </si>
  <si>
    <t>G-test (BDG)</t>
  </si>
  <si>
    <t>admission</t>
  </si>
  <si>
    <t>No significant difference (P=0.778)</t>
  </si>
  <si>
    <t>G-test 230 (6, 495.6) 139.1 (19.5, 350) 0.778</t>
  </si>
  <si>
    <t>Survivor</t>
  </si>
  <si>
    <t>139.1</t>
  </si>
  <si>
    <t>19.5-350</t>
  </si>
  <si>
    <t>NS</t>
  </si>
  <si>
    <t>elevated serum 1.3-β-glucan levels (BDG)</t>
  </si>
  <si>
    <t>elevated BDG required for diagnosis; per-arm numeric value not reported</t>
  </si>
  <si>
    <t>NA (used qPCR Ct value for fungal burden)</t>
  </si>
  <si>
    <t>Higher fungal burden (low Ct) associated with mortality on univariate</t>
  </si>
  <si>
    <t>a qPCR Ct value higher than 35, correlates with a clinically low PJ fungal burden</t>
  </si>
  <si>
    <t>beta-D-glucan not reported; fungal burden by qPCR Ct instead</t>
  </si>
  <si>
    <t>TMP-SMX failure group</t>
  </si>
  <si>
    <t>Median</t>
  </si>
  <si>
    <t>571</t>
  </si>
  <si>
    <t>pg/ml</t>
  </si>
  <si>
    <t>IQR 1510</t>
  </si>
  <si>
    <t>(1-3)-beta-D-glucan test</t>
  </si>
  <si>
    <t>at treatment</t>
  </si>
  <si>
    <t>Not associated with first-line failure (P=0.362)</t>
  </si>
  <si>
    <t>BDG, pg/ml [IQR] 571 [1510] 750 [1006] 0.362</t>
  </si>
  <si>
    <t>success group 750 pg/ml</t>
  </si>
  <si>
    <t>Caspofungin group (second-line)</t>
  </si>
  <si>
    <t>Mean</t>
  </si>
  <si>
    <t>799.6</t>
  </si>
  <si>
    <t>SD 874.8</t>
  </si>
  <si>
    <t>BDG lower in caspofungin group (non-optimised population)</t>
  </si>
  <si>
    <t>BDG, pg/ml ± SD 1368.3 ± 1123.8 799.6 ± 874.8 ... 0.052</t>
  </si>
  <si>
    <t>non-caspofungin 1368.3 pg/ml</t>
  </si>
  <si>
    <t>the main structural component of the cell wall in Pneumocystis cysts is b-1,3-glucan</t>
  </si>
  <si>
    <t>Introduction</t>
  </si>
  <si>
    <t>beta-D-glucan discussed as drug target only; not measured/reported</t>
  </si>
  <si>
    <t>Per-patient range</t>
  </si>
  <si>
    <t>23.9-11096.2</t>
  </si>
  <si>
    <t>elevated (&gt;threshold) in 7/10</t>
  </si>
  <si>
    <t>plasma (1,3)-β-D-glucan</t>
  </si>
  <si>
    <t>within 7 days prior to diagnosis</t>
  </si>
  <si>
    <t>Laboratory findings showed elevated (1,3)-β-D-glucan(BDG)in 7 cases</t>
  </si>
  <si>
    <t>individual values e.g. 555.7, 6507.4, 9466.5, 11096.2, 271.9, 26.4, 26.3, 23.9, 10446.7 pg/mL</t>
  </si>
  <si>
    <t>Not reported</t>
  </si>
  <si>
    <t>No beta-D-glucan data reported in this study</t>
  </si>
  <si>
    <t>Used diagnostically only</t>
  </si>
  <si>
    <t>Wako beta-D-glucan test or FUNGITEC G-test MKII (Nissui)</t>
  </si>
  <si>
    <t>&gt;5 pg/mL (Wako) or &gt;20 pg/mL (FUNGITEC)</t>
  </si>
  <si>
    <t>diagnosis</t>
  </si>
  <si>
    <t>Elevated b-D-glucan levels were deﬁned as &gt; 5 pg/mL (b-D-glucan test; Wako assay) or &gt; 20 pg/mL (FUNGITEC G-test KM assay)</t>
  </si>
  <si>
    <t>No per-arm baseline BDG value reported</t>
  </si>
  <si>
    <t>No beta-D-glucan data reported</t>
  </si>
  <si>
    <t>Collected but not reported</t>
  </si>
  <si>
    <t>serum b-D glucan (component of case-report form)</t>
  </si>
  <si>
    <t>Additional data pertaining to PJP were retrospectively extracted from hospital charts using a case-report form, including... polymerase-chain reaction (PCR) and serum b-D glucan</t>
  </si>
  <si>
    <t>Methods 2.3</t>
  </si>
  <si>
    <t>BDG mentioned as collected variable but no per-patient/per-cohort value reported</t>
  </si>
  <si>
    <t>whole cohort (per case)</t>
  </si>
  <si>
    <t>Peak value per case</t>
  </si>
  <si>
    <t>Case1 584.32; Case2 &lt;10; Case3 100.37; Case4 254.28; Case5 2470.6</t>
  </si>
  <si>
    <t>NR (BDG/DG test)</t>
  </si>
  <si>
    <t>0-95 pg/mL (normal range)</t>
  </si>
  <si>
    <t>peak during illness</t>
  </si>
  <si>
    <t>Case2 (died) had lowest BDG &lt;10; cases 1,4,5 markedly elevated</t>
  </si>
  <si>
    <t>peak BDG (10.00_2470.6) pg/mL</t>
  </si>
  <si>
    <t>Results 3.3/Table 1</t>
  </si>
  <si>
    <t>range 10.00-2470.6 pg/mL across 5 children</t>
  </si>
  <si>
    <t>Serum Aspergillus galactomannan measured but beta-D-glucan not reported</t>
  </si>
  <si>
    <t>Positive finding count / diagnostic threshold</t>
  </si>
  <si>
    <t>48 (12.8%) positive beta-D-glucan; 153 (40.8%) positive both BDG and PCR</t>
  </si>
  <si>
    <t>&gt;80 pg/mL (probable-PCP definition)</t>
  </si>
  <si>
    <t>Probable PCP required an immunocompromising condition plus characteristic imaging findings with either β-D-glucan of &gt; 80 pg/mL or positive PCR assay results.</t>
  </si>
  <si>
    <t>Methods/Table 1</t>
  </si>
  <si>
    <t>Positive BDG findings 48/375; no baseline BDG level distribution reported</t>
  </si>
  <si>
    <t>Baseline serum mean</t>
  </si>
  <si>
    <t>646.3 +/- 542.1</t>
  </si>
  <si>
    <t>ng/l (pg/mL)</t>
  </si>
  <si>
    <t>monotherapy had lower BDG than combination groups</t>
  </si>
  <si>
    <t>Serum BDG (ng/l)  856.0 ± 759.9  646.3 ± 542.1  956.2 ± 850. 8  870.2 ± 867.2  0.354</t>
  </si>
  <si>
    <t>956.2 +/- 850.8</t>
  </si>
  <si>
    <t>870.2 +/- 867.2</t>
  </si>
  <si>
    <t>overall cohort mean 856.0 +/- 759.9 ng/l; between-group P=0.354</t>
  </si>
  <si>
    <t>whole cohort (survivors vs death)</t>
  </si>
  <si>
    <t>Baseline median (IQR width shown)</t>
  </si>
  <si>
    <t>survivors 681; death 643; overall 662</t>
  </si>
  <si>
    <t>ng/l</t>
  </si>
  <si>
    <t>(963) / (946) / (952)</t>
  </si>
  <si>
    <t>No difference by survival (p=0.928)</t>
  </si>
  <si>
    <t>Serum BDG (ng/l) 681 (963) 643 (946) 662 (952) 0.928</t>
  </si>
  <si>
    <t>Reported by survival status, not by treatment group</t>
  </si>
  <si>
    <t>Beta-D-glucan not reported in this study</t>
  </si>
  <si>
    <t>Beta-D-glucan not reported; LDH used as prognostic marker (cutoff ~495 U/L)</t>
  </si>
  <si>
    <t>Beta-D-glucan not available in administrative database</t>
  </si>
  <si>
    <t>beta-(1,3)-D-glucan is a key component of the cyst cell wall in Pneumocystis jirovecii</t>
  </si>
  <si>
    <t>BDG discussed as echinocandin rationale but not measured (administrative database); absence noted as limitation</t>
  </si>
  <si>
    <t>b-1,3-glucan is an important component of the cyst cell wall in Pneumocystis jirovecii</t>
  </si>
  <si>
    <t>BDG cited as caspofungin rationale but not measured/reported per patient</t>
  </si>
  <si>
    <t>Survivors</t>
  </si>
  <si>
    <t>188</t>
  </si>
  <si>
    <t>68.4-473</t>
  </si>
  <si>
    <t>Fungitec G test (2007-2015) or WAKO turbidimetric assay (2016-2017)</t>
  </si>
  <si>
    <t>NR (no cutoff defined for BDG)</t>
  </si>
  <si>
    <t>No baseline difference vs nonsurvivors (p=0.789); baseline BDG OR 1.0 (0.999-1.001) p=0.829 for 60-day mortality</t>
  </si>
  <si>
    <t>b-D glucan, (pg/mL) 188 (68.4e473) 504.5 (166e665.5) 0.789</t>
  </si>
  <si>
    <t>Day7 102.6 (37.7-462.5) p=0.184 vs baseline; Day14 36.9 (19-83.1) significantly lower p=0.004</t>
  </si>
  <si>
    <t>Non-survivors</t>
  </si>
  <si>
    <t>504.5</t>
  </si>
  <si>
    <t>166-665.5</t>
  </si>
  <si>
    <t>Fungitec G test or WAKO turbidimetric assay</t>
  </si>
  <si>
    <t>No significant baseline difference (p=0.789)</t>
  </si>
  <si>
    <t>Day7 150 (98.4-570) p=0.883; Day14 88.2 (29.3-365.3) p=0.697 vs baseline (no significant fall)</t>
  </si>
  <si>
    <t>Echinocandins inhibit the synthesis of beta-(1,3)-D-glucan</t>
  </si>
  <si>
    <t>beta-D-glucan discussed mechanistically only; no measured values reported</t>
  </si>
  <si>
    <t>whole cohort (by survival status)</t>
  </si>
  <si>
    <t>Baseline median (IQR)</t>
  </si>
  <si>
    <t>survivors 266.0; nonsurvivors 278.0</t>
  </si>
  <si>
    <t>survivors 171.4-630.5; nonsurvivors 120.7-1061.5</t>
  </si>
  <si>
    <t>G test</t>
  </si>
  <si>
    <t>in-hospital mortality (P=0.788, NS)</t>
  </si>
  <si>
    <t>G test, pg/ml, median (IQR) 266.0 (171.4-630.5) 278.0 (120.7-1061.5) 0.788</t>
  </si>
  <si>
    <t>reported by survivor vs nonsurvivor, not by caspofungin arm</t>
  </si>
  <si>
    <t>exposure of surface b-glucans on the organism</t>
  </si>
  <si>
    <t>beta-glucan discussed mechanistically only; no measured values</t>
  </si>
  <si>
    <t>(1,3)-beta-D-glucan detection have been previously adopted to increase the diagnosis rate</t>
  </si>
  <si>
    <t>beta-D-glucan mentioned as diagnostic modality only; no values</t>
  </si>
  <si>
    <t>89.4</t>
  </si>
  <si>
    <t>10.0-229.8</t>
  </si>
  <si>
    <t>NR (17.5% missing overall)</t>
  </si>
  <si>
    <t>(1,3)-beta-D-glucan</t>
  </si>
  <si>
    <t>&gt;=800 pg/mL suggested to predict better caspofungin response</t>
  </si>
  <si>
    <t>P=0.442 between arms</t>
  </si>
  <si>
    <t>(1, 3) beta-D-Glucan value, pg/mL 100.6 [10.0240.0] 89.4 [10.0229.8] 100.6 [10.0245.9] 0.442</t>
  </si>
  <si>
    <t>100.6</t>
  </si>
  <si>
    <t>10.0-245.9</t>
  </si>
  <si>
    <t>&gt;=800 pg/mL suggested</t>
  </si>
  <si>
    <t>P=0.442</t>
  </si>
  <si>
    <t>cohort median BDG (100.6) below the &gt;=800 threshold cited for caspofungin response</t>
  </si>
  <si>
    <t>Serum BDG mean (SD)</t>
  </si>
  <si>
    <t>survival 681; death 643; all 662</t>
  </si>
  <si>
    <t>ng/L (as reported)</t>
  </si>
  <si>
    <t>SD: survival 963; death 946; all 952</t>
  </si>
  <si>
    <t>in-hospital mortality (P=0.928, NS)</t>
  </si>
  <si>
    <t>reported by survival vs death, not by treatment arm; units stated as ng/L</t>
  </si>
  <si>
    <t>Baseline mean (SD)</t>
  </si>
  <si>
    <t>472.06</t>
  </si>
  <si>
    <t>SD 281.41</t>
  </si>
  <si>
    <t>subset of 11 measured</t>
  </si>
  <si>
    <t>serum beta-1,3-glucan</t>
  </si>
  <si>
    <t>P=0.412 between arms</t>
  </si>
  <si>
    <t>Serum beta-1,3-glucanb, pg/ml (n=11) 513.06+/-289.65 472.06+/-281.41 584.83+/-332.39 0.412</t>
  </si>
  <si>
    <t>Table II</t>
  </si>
  <si>
    <t>beta-1,3-glucan measured in 11/14</t>
  </si>
  <si>
    <t>584.83</t>
  </si>
  <si>
    <t>SD 332.39</t>
  </si>
  <si>
    <t>P=0.412</t>
  </si>
  <si>
    <t>total mean 513.06 pg/mL</t>
  </si>
  <si>
    <t>5  Concomitant corticosteroids</t>
  </si>
  <si>
    <t>Steroid use (category)</t>
  </si>
  <si>
    <t>% receiving steroids</t>
  </si>
  <si>
    <t>Agent (verbatim)</t>
  </si>
  <si>
    <t>Starting dose</t>
  </si>
  <si>
    <t>Duration (d)</t>
  </si>
  <si>
    <t>Indication / trigger</t>
  </si>
  <si>
    <t>Timing vs anti-PCP start</t>
  </si>
  <si>
    <t>Outcome stratified by steroids?</t>
  </si>
  <si>
    <t>Methylprednisolone</t>
  </si>
  <si>
    <t>1 mg/kg/d</t>
  </si>
  <si>
    <t>Severe PCP (PaO2&lt;70/A-a&gt;35)</t>
  </si>
  <si>
    <t>Within 24h of anti-PCP</t>
  </si>
  <si>
    <t>"Adjunctive corticosteroids were given to 61% and tapered over 14 days"</t>
  </si>
  <si>
    <t>p.4</t>
  </si>
  <si>
    <t>various (prednisone-equivalent)</t>
  </si>
  <si>
    <t>daily prednisone equivalents, not standardized</t>
  </si>
  <si>
    <t>adjunctive for PJP, physician discretion</t>
  </si>
  <si>
    <t>early, within 48h of anti-PCP</t>
  </si>
  <si>
    <t>EACST was defined as corticosteroids administration within 48 hours of anti-pneumocystis therapy initiation.</t>
  </si>
  <si>
    <t>88/133 (66%) received corticosteroids at any time; 58 early (EACST)</t>
  </si>
  <si>
    <t>none or late</t>
  </si>
  <si>
    <t>none or &gt;48h</t>
  </si>
  <si>
    <t>Seventy-five patients (56%) did not or had a late adjunctive corticosteroids treatment</t>
  </si>
  <si>
    <t>corticosteroids (unspecified)</t>
  </si>
  <si>
    <t>median 0.74-0.81 mg/kg/day</t>
  </si>
  <si>
    <t>PCP adjunctive (newly initiated) or continued pre-existing</t>
  </si>
  <si>
    <t>mixed</t>
  </si>
  <si>
    <t>108 (66.6%) also received corticosteroids. Among them, 60 (55.5%) started corticosteroids for PCP, while 48 (45.5%) continued pre-existing therapy.</t>
  </si>
  <si>
    <t>newly initiated corticosteroid associated with higher mortality (HR 1.89)</t>
  </si>
  <si>
    <t>methylprednisolone</t>
  </si>
  <si>
    <t>40 mg every 12 h with descending pattern every 5 days</t>
  </si>
  <si>
    <t>underlying disease / adjunctive</t>
  </si>
  <si>
    <t>concurrent</t>
  </si>
  <si>
    <t>With the exception of one patient, all were receiving corticosteroid treatment at a dose of 40 mg of methylprednisolone every 12 h with a descending pattern every 5 days.</t>
  </si>
  <si>
    <t>13/14 on corticosteroids</t>
  </si>
  <si>
    <t>high-dose corticosteroids</t>
  </si>
  <si>
    <t>regimen similar to HIV severe PcP</t>
  </si>
  <si>
    <t>adjuvant for severe PcP form</t>
  </si>
  <si>
    <t>Adjuvant corticosteroid therapy was defined as any current or initiated high-dose steroid treatment justified by a PcP severe form, with a regimen similar to that used for patients with HIV with severe PcP.</t>
  </si>
  <si>
    <t>Methods/Results</t>
  </si>
  <si>
    <t>adjunctive corticotherapy 226 (47.0%); prior long-term corticosteroids separate risk factor</t>
  </si>
  <si>
    <t>prednisone (maintenance) +/- increase</t>
  </si>
  <si>
    <t>day 1-7 max median 40 mg prednisone equivalent; additional 2.2 mg/kg first week then tapered</t>
  </si>
  <si>
    <t>maintenance immunosuppression +/- adjunctive for PCP</t>
  </si>
  <si>
    <t>ongoing; increased in 57%</t>
  </si>
  <si>
    <t>All patients were treated with steroids at the time of PCP diagnosis ... In most cases, steroids were increased (57%).</t>
  </si>
  <si>
    <t>steroid modification during PCP not associated with mortality</t>
  </si>
  <si>
    <t>any immunosuppressive therapy for more than 4 weeks, including corticosteroids ... [collected as covariate]</t>
  </si>
  <si>
    <t>adjunctive corticosteroid use for PCP not separately reported; long-term immunosuppressant use 6/66 (9.1%)</t>
  </si>
  <si>
    <t>2.0-2.5 mg/kg/day q12h then taper 20 mg every 2-3 days</t>
  </si>
  <si>
    <t>until oxygenation improved</t>
  </si>
  <si>
    <t>adjunctive per team protocol</t>
  </si>
  <si>
    <t>the patients were initially administered with methylprednisolone at 2.0-2.5 mg/kg/day once every 12 h.</t>
  </si>
  <si>
    <t>same protocol both arms; immunosuppressants stopped on admission</t>
  </si>
  <si>
    <t>2.0-2.5 mg/kg/day q12h then taper</t>
  </si>
  <si>
    <t>corticosteroids (incl. high-dose pulse)</t>
  </si>
  <si>
    <t>high-dose pulse in 15/32 (46.9%)</t>
  </si>
  <si>
    <t>adjunct for PCP / underlying ILD</t>
  </si>
  <si>
    <t>High-dose corticosteroid pulse therapy was applied to 15 patients (46.9%) in the ILD group, which was significantly higher than in the non-ILD group (9.5%, p&lt;0.001).</t>
  </si>
  <si>
    <t>93.2% of all had prior corticosteroid use</t>
  </si>
  <si>
    <t>corticosteroids</t>
  </si>
  <si>
    <t>high-dose pulse in ~9.5%</t>
  </si>
  <si>
    <t>adjunct for PCP</t>
  </si>
  <si>
    <t>Most patients were treated with trimethoprim/sulfamethoxazole (TMP/SMX) and adjunct corticosteroids.</t>
  </si>
  <si>
    <t>Prednisone (majority), methylprednisolone, hydrocortisone, dexamethasone</t>
  </si>
  <si>
    <t>Prednisone total 10.6 mg/kg (median)</t>
  </si>
  <si>
    <t>Adjunctive for PJP</t>
  </si>
  <si>
    <t>117/133 within 72h of anti-PJP therapy</t>
  </si>
  <si>
    <t>A total of 133 patients (77.3%) received AGT</t>
  </si>
  <si>
    <t>Results 3.2 / Table 3</t>
  </si>
  <si>
    <t>21-day protocol course in 67 patients</t>
  </si>
  <si>
    <t>No AGT, n = 39</t>
  </si>
  <si>
    <t>40 mg IV BID, tapered to 60 mg/d</t>
  </si>
  <si>
    <t>Adjunctive; improve oxygenation</t>
  </si>
  <si>
    <t>Early after ICU transfer</t>
  </si>
  <si>
    <t>Adjunctive glucocorticosteroid therapy with methylprednisolone was initiated at a dose of 40 mg administered intravenously twice daily, which was later tapered to a total daily dose of 60 mg after 1 week.</t>
  </si>
  <si>
    <t>Investigations and Treatment</t>
  </si>
  <si>
    <t>NR (glucocorticoids not routinely in PJP treatment; 40.3% on baseline steroids for GVHD/immunosuppression)</t>
  </si>
  <si>
    <t>Median baseline prednisolone-equivalent 12.5 (7.5-20) mg</t>
  </si>
  <si>
    <t>Baseline immunosuppression, not adjunctive for PJP</t>
  </si>
  <si>
    <t>Corticosteroids are not routinely included in the standard PJP treatment protocol</t>
  </si>
  <si>
    <t>Prophylaxis and Treatment of PJP</t>
  </si>
  <si>
    <t>29/72 (40.3%) receiving glucocorticoids at PJP diagnosis as baseline immunosuppression</t>
  </si>
  <si>
    <t>Methylprednisolone or prednisone</t>
  </si>
  <si>
    <t>Recommended dose (not specified numerically)</t>
  </si>
  <si>
    <t>Adjuvant for moderate-severe PJP</t>
  </si>
  <si>
    <t>All patients with moderate to severe PJP received adjuvant glucocorticoids therapy (recommended dose of methylprednisolone or prednisone).</t>
  </si>
  <si>
    <t>Methods (Treatment regimen)</t>
  </si>
  <si>
    <t>Separately, 91% were on baseline corticosteroid immunosuppression</t>
  </si>
  <si>
    <t>Recorded as methylprednisolone equivalent; higher dose = worse prognosis</t>
  </si>
  <si>
    <t>Adjunctive for PJP (some for other indications)</t>
  </si>
  <si>
    <t>All within 24h of therapeutic initiation</t>
  </si>
  <si>
    <t>251 (75.1%) patients received adjunctive corticosteroids during PJP treatment, and all steroids were introduced within 24 h of therapeutic initiation</t>
  </si>
  <si>
    <t>Results / Table 1</t>
  </si>
  <si>
    <t>Without adjunctive steroids (n = 83)</t>
  </si>
  <si>
    <t>Adjunctive corticosteroid (unspecified)</t>
  </si>
  <si>
    <t>Adjunctive for PCP</t>
  </si>
  <si>
    <t>Adjunctive corticosteroid was administered for 33 patients (75.0%) in the non-HIV-PCP group and 14 (45.2%) in the HIV-PCP group (P = 0.015)</t>
  </si>
  <si>
    <t>33/44</t>
  </si>
  <si>
    <t>14 (45.2%) in the HIV-PCP group</t>
  </si>
  <si>
    <t>Co-administration of adjunctive corticosteroid did not mitigate TMP-SMX hypersensitivity</t>
  </si>
  <si>
    <t>Corticosteroid (prednisolone-equivalent)</t>
  </si>
  <si>
    <t>&gt;=40 mg prednisone BID for 5 days (adjunctive definition)</t>
  </si>
  <si>
    <t>5+</t>
  </si>
  <si>
    <t>Adjunctive for severe PCP with respiratory failure</t>
  </si>
  <si>
    <t>within 72h of anti-PCP treatment</t>
  </si>
  <si>
    <t>All of the patients except one (98.0%) were treated with adjunctive corticosteroids.</t>
  </si>
  <si>
    <t>50/51</t>
  </si>
  <si>
    <t>Adjunctive corticosteroid use for adults not reported; some patients on baseline corticosteroid immunosuppression (e.g., paediatric cases)</t>
  </si>
  <si>
    <t>30 mg IV bid days 1-5, 30 mg od days 6-10, 20 mg od until day 21</t>
  </si>
  <si>
    <t>13 (7-20)</t>
  </si>
  <si>
    <t>Adjunctive for severe PCP (trial intervention)</t>
  </si>
  <si>
    <t>immediately after randomisation, median 3d after antibiotic onset</t>
  </si>
  <si>
    <t>Patients assigned to adjunctive corticosteroid therapy received intravenously methylprednisolone, 30 mg twice per day from days 1 to 5, 30 mg once per day from days 6 to 10, and 20 mg once per day until day 21</t>
  </si>
  <si>
    <t>Procedures</t>
  </si>
  <si>
    <t>saline placebo (trial); 50% on background long-term steroid</t>
  </si>
  <si>
    <t>NA (trial); background &lt;1 mg/kg/d</t>
  </si>
  <si>
    <t>Placebo arm</t>
  </si>
  <si>
    <t>For the placebo group, 2 mL or 3 mL syringes were prepared containing the same amount of intravenously isotonic saline</t>
  </si>
  <si>
    <t>8 placebo patients received rescue corticosteroids within first 7 days</t>
  </si>
  <si>
    <t>40-80 mg/d (mean 0.96±0.46 mg/kg/d)</t>
  </si>
  <si>
    <t>6.71±2.57</t>
  </si>
  <si>
    <t>Severe PJP / inflammatory response</t>
  </si>
  <si>
    <t>with anti-PCP</t>
  </si>
  <si>
    <t>a GCS (methylprednisolone 40–80 mg/day for 3–14 days, after which the dose was decreased to the baseline dosage or treatment was stopped)</t>
  </si>
  <si>
    <t>low-dose short-course; used BDG/IL-6 kinetics to guide</t>
  </si>
  <si>
    <t>Not part of MT regimen</t>
  </si>
  <si>
    <t>Patients in the MT group were treated only with SMX-TMP (TMP 15–20 mg/kg per day)</t>
  </si>
  <si>
    <t>Abstract/Methods</t>
  </si>
  <si>
    <t>some patients on long-term prednisone for underlying disease</t>
  </si>
  <si>
    <t>corticosteroid (prednisone equivalent)</t>
  </si>
  <si>
    <t>&gt;=1 mg/kg/d in 30/57 non-survivors (56.6%) and 26/83 survivors (31.3%)</t>
  </si>
  <si>
    <t>Treatment corticosteroid during PCP</t>
  </si>
  <si>
    <t>the proportion of high-dose corticosteroids (≥1mg/(kg·d)) (56.6% vs 31.3%, P=0.003) were higher than those in the survivor group</t>
  </si>
  <si>
    <t>94.5% had prior corticosteroid use within 1 month (median 45 mg/d, 71 days)</t>
  </si>
  <si>
    <t>40 mg bid x5d, 40 mg od x5d, taper to 20 mg/d (21d)</t>
  </si>
  <si>
    <t>Adjunctive for PCP+ARDS</t>
  </si>
  <si>
    <t>within 24h of admission</t>
  </si>
  <si>
    <t>The standard-dose group received intravenous methylprednisolone at 40 mg twice daily for the initial 5 days, followed by 40 mg once daily for the subsequent 5 days, and then tapered to 20 mg daily over the remaining 11 days</t>
  </si>
  <si>
    <t>Methods (Definitions)</t>
  </si>
  <si>
    <t>&lt;40 mg/day</t>
  </si>
  <si>
    <t>the low-dose methylprednisolone regimen involved a daily administration of less than 40 mg of methylprednisolone</t>
  </si>
  <si>
    <t>corticosteroid (prednisolone-equivalent)</t>
  </si>
  <si>
    <t>high dose &gt;=1 mg/kg/d (43/84) or low dose &lt;1 mg/kg/d (26/84)</t>
  </si>
  <si>
    <t>Adjunctive during PCP treatment</t>
  </si>
  <si>
    <t>Adjunctive steroid use (OR =6.23, 95% CI =1.17–33.14; P=0.032) ... significantly associated with increased 60-day mortality</t>
  </si>
  <si>
    <t>adjunctive steroid independent risk factor for mortality</t>
  </si>
  <si>
    <t>Second-line cohort (severe cases)</t>
  </si>
  <si>
    <t>adjunctive corticosteroids</t>
  </si>
  <si>
    <t>40-80 mg daily until PCP improvement</t>
  </si>
  <si>
    <t>Severe infection</t>
  </si>
  <si>
    <t>For patients with severe infection, adjunctive corticosteroids (40–80 mg daily) were given until PCP improvement</t>
  </si>
  <si>
    <t>Methods (PCP treatment)</t>
  </si>
  <si>
    <t>'sufficient steroid' 56% failure vs 54% success (Table 1)</t>
  </si>
  <si>
    <t>prednisolone (background)</t>
  </si>
  <si>
    <t>maintenance immunosuppression</t>
  </si>
  <si>
    <t>Transplant immunosuppression, not PCP adjunctive</t>
  </si>
  <si>
    <t>background</t>
  </si>
  <si>
    <t>the combination of tacrolimus, mycophenolate, and prednisolone was the most commonly prescribed</t>
  </si>
  <si>
    <t>no PCP-specific adjunctive corticosteroid described</t>
  </si>
  <si>
    <t>corticosteroids (adjunctive)</t>
  </si>
  <si>
    <t>new or increased dosage</t>
  </si>
  <si>
    <t>3-25 (per Table 3: 7d, 3d, 9d, 25d)</t>
  </si>
  <si>
    <t>Moderate-to-severe / rapidly progressive disease</t>
  </si>
  <si>
    <t>during anti-PJP treatment</t>
  </si>
  <si>
    <t>Adjunctive corticosteroids (new or increased dosage) were administered to 4 patients (40%)</t>
  </si>
  <si>
    <t>9/10 received dexamethasone as part of chemotherapy (background); mortality case did not receive early corticosteroid</t>
  </si>
  <si>
    <t>HIV-negative cohort</t>
  </si>
  <si>
    <t>71.43</t>
  </si>
  <si>
    <t>corticosteroids (adjuvant, agent NR)</t>
  </si>
  <si>
    <t>adjunctive for PCP</t>
  </si>
  <si>
    <t>with anti-PCP therapy</t>
  </si>
  <si>
    <t>Corticosteroids  71  37 (86.05)  20 (71.43)  .13</t>
  </si>
  <si>
    <t>Table 1A</t>
  </si>
  <si>
    <t>20/28 HIV-negative; 57/71 total cohort</t>
  </si>
  <si>
    <t>both arms (subset)</t>
  </si>
  <si>
    <t>glucocorticoid (methylprednisolone pulse 500-1000 mg/d or mild-to-moderate lower doses)</t>
  </si>
  <si>
    <t>pulse 500-1,000 mg/d MP, or lower mild-to-moderate</t>
  </si>
  <si>
    <t>use of adjunctive glucocorticoid therapy (steroid pulse therapy is deﬁned as the initial administration of methylprednisolone at a dose of 500-1,000 mg/d, whereas a mild-to-moderate dose is deﬁned as a steroid dose less than that used in steroid pulse therapy)</t>
  </si>
  <si>
    <t>glucocorticoid nonuse balanced between groups; exact per-arm counts partly garbled in table text</t>
  </si>
  <si>
    <t>prednisolone / methylprednisolone</t>
  </si>
  <si>
    <t>PSL 10-75 mg/d (11 pts), PSL 80-156 mg/d (4 pts), mPSL 500-1000 mg/d (8 pts)</t>
  </si>
  <si>
    <t>manage inflammatory response of non-HIV PCP</t>
  </si>
  <si>
    <t>For almost all patients, adjunctive glucocorticoid therapy was combined with the TMP-SMX treatment</t>
  </si>
  <si>
    <t>only 1/24 (4.2%) received no steroid</t>
  </si>
  <si>
    <t>PSL 10-75 mg/d (10 pts), PSL 80-156 mg/d (9 pts), mPSL 500-1000 mg/d (7 pts)</t>
  </si>
  <si>
    <t>Most patients in both groups received adjunctive glucocorticoid therapy (Table 1)</t>
  </si>
  <si>
    <t>3/29 (10.3%) no steroid</t>
  </si>
  <si>
    <t>corticosteroids (concomitant)</t>
  </si>
  <si>
    <t>26.3 mean (median 21, range 10-90)</t>
  </si>
  <si>
    <t>concomitant treatment with PJP therapy</t>
  </si>
  <si>
    <t>with anti-PJP</t>
  </si>
  <si>
    <t>Twenty-ﬁve (of 34 with available data, 73.5%) patients received concomitant treatment with corticosteroids for a mean duration of 26.3 days (SD: 20.1, median: 21 days, range: 10, 90)</t>
  </si>
  <si>
    <t>note: all SOT recipients were on maintenance steroids at baseline (41/41, 100%)</t>
  </si>
  <si>
    <t>adjunctive</t>
  </si>
  <si>
    <t>with anti-PJ therapy</t>
  </si>
  <si>
    <t>Among them, cases 1, 3 and 4 were treated with methylprednisolone, and cases 1 and 4 were treated with intravenous immunoglobulin.</t>
  </si>
  <si>
    <t>3/5 children received methylprednisolone</t>
  </si>
  <si>
    <t>94.44</t>
  </si>
  <si>
    <t>glucocorticoids (therapeutic intent)</t>
  </si>
  <si>
    <t>high-dose</t>
  </si>
  <si>
    <t>therapeutic/adjunctive</t>
  </si>
  <si>
    <t>Yes (by outcome)</t>
  </si>
  <si>
    <t>Glucocorticoids (with a therapeutic intent) were administered to 17/18 patients (94.44%)... the outcome turned out to be unfavorable for 12/17 (70.59%)</t>
  </si>
  <si>
    <t>Results (p.71-72)</t>
  </si>
  <si>
    <t>13/18 had prior high-dose glucocorticoid exposure as predisposing factor</t>
  </si>
  <si>
    <t>corticosteroids (prednisone-equivalent, agents mixed)</t>
  </si>
  <si>
    <t>21-d mean daily median 37.5 mg (IQR 15-60); quartiles 0-28.5 / 28.5-40.5 / 40.5-56.7 / 56.7-1270 mg</t>
  </si>
  <si>
    <t>adjunctive for PCP; 55.2% on long-term steroids before PCP</t>
  </si>
  <si>
    <t>88.3% started within 48 h of treatment start; 58.6% started before PCP treatment</t>
  </si>
  <si>
    <t>Yes (continuous dose modeled)</t>
  </si>
  <si>
    <t>Of 375 patients, 351 patients (93.6%) received corticosteroids... Greater cumulative steroid dose was associated with increased risk of 90-day mortality (weighted hazard ratio [HR], 1.01 per 100 mg prednisone-equivalent; 95% CI, 1.00-1.02; P = .006).</t>
  </si>
  <si>
    <t>Abstract/Results/Table 1</t>
  </si>
  <si>
    <t>central exposure of the study; higher cumulative dose linked to higher mortality, no respiratory benefit</t>
  </si>
  <si>
    <t>all groups</t>
  </si>
  <si>
    <t>adjunctive/systemic</t>
  </si>
  <si>
    <t>systemic use</t>
  </si>
  <si>
    <t>Systemic use of glucocorticoids, n (%)  78(83.9%)  15(71.4%)  38(88.4%)  25(86.2%)  0.206</t>
  </si>
  <si>
    <t>G1 15/21 (71.4%), G2 38/43 (88.4%), G3 25/29 (86.2%)</t>
  </si>
  <si>
    <t>high-dose glucocorticoid noted as prior risk factor in intro</t>
  </si>
  <si>
    <t>such as shock, the need for high-dose glucocorticoid therapy, respiratory failure</t>
  </si>
  <si>
    <t>Adjunctive corticosteroid use during PCP treatment not quantified per arm</t>
  </si>
  <si>
    <t>prednisone equivalent</t>
  </si>
  <si>
    <t>median 80 (60-80) mg/day</t>
  </si>
  <si>
    <t>early adjunctive corticosteroid therapy for severe PcP</t>
  </si>
  <si>
    <t>within 5 days of anti-Pneumocystis therapy</t>
  </si>
  <si>
    <t>AC therapy was defined as &gt;=1 mg/kg/day prednisone equivalent started within 5 days of initiating anti-Pneumocystis treatment</t>
  </si>
  <si>
    <t>Exposure of interest</t>
  </si>
  <si>
    <t>none early</t>
  </si>
  <si>
    <t>91 patients received low dose or late adjunctive corticosteroids and 143 patients did not receive corticosteroids</t>
  </si>
  <si>
    <t>Table 1 footnote</t>
  </si>
  <si>
    <t>'No early AC' arm includes late/low-dose AC and true no-steroid patients</t>
  </si>
  <si>
    <t>NR (prednisone-equivalent dose examined as predictor, OR 1.52 per 50 mg/day univariate)</t>
  </si>
  <si>
    <t>underlying immunosuppression / adjunctive</t>
  </si>
  <si>
    <t>Prednisone equivalent dose (50 mg/day) 1.52 (1.13-2.13) 0.010</t>
  </si>
  <si>
    <t>Prednisone dose as predictor; adjunctive steroid use during PCP not separately quantified</t>
  </si>
  <si>
    <t>prednisolone or equivalent</t>
  </si>
  <si>
    <t>&gt;=40 mg/day</t>
  </si>
  <si>
    <t>adjunctive / underlying</t>
  </si>
  <si>
    <t>within 2d of admission</t>
  </si>
  <si>
    <t>Steroids 1,085 (64.5 %) 1,836 (66.4 %)</t>
  </si>
  <si>
    <t>Use of steroids defined as &gt;=40 mg/day prednisolone or equivalent</t>
  </si>
  <si>
    <t>Steroids 950 (79.0 %) 88 (72.1 %)</t>
  </si>
  <si>
    <t>Steroids 3,539 (64.9) 234 (56.5)</t>
  </si>
  <si>
    <t>96.76</t>
  </si>
  <si>
    <t>corticosteroid (unspecified)</t>
  </si>
  <si>
    <t>no fixed dose/duration</t>
  </si>
  <si>
    <t>adjunctive per guidelines</t>
  </si>
  <si>
    <t>Use of corticosteroid [n (%)] 269 (96.76) 130 (96.30) 38 (97.44) 77 (97.47) 24 (96.00) 0.956</t>
  </si>
  <si>
    <t>By group: g1 130, g2 38, g3 77, g4 24; authors note no fixed corticosteroid schedule (limitation)</t>
  </si>
  <si>
    <t>85.7</t>
  </si>
  <si>
    <t>methylprednisolone / prednisolone (adjuvant)</t>
  </si>
  <si>
    <t>MP 1000 mg/day pulse 14 (28.6%); PSL 80 mg/day 11; PSL 1 mg/kg 5; PSL 0.5 mg/kg 12; median daily PSL 10 mg</t>
  </si>
  <si>
    <t>adjuvant corticosteroid therapy for PCP</t>
  </si>
  <si>
    <t>during PCP treatment</t>
  </si>
  <si>
    <t>Adjuvant corticosteroid therapy 42 (85.7) 14 (100) 0.333 ... Methylprednisolone 1000 mg/day 14 (28.6) 12 (85.7) &lt;0.001</t>
  </si>
  <si>
    <t>Corticosteroid use at diagnosis 45 (91.8%) survivors; median daily PSL 10 mg (surv) vs 20 mg (nonsurv)</t>
  </si>
  <si>
    <t>MP 1000 mg/day pulse 12 (85.7%); PSL 80 mg/day 1; median daily PSL 20 mg</t>
  </si>
  <si>
    <t>High-dose MP pulse significantly more common among nonsurvivors (85.7% vs 28.6%, p&lt;0.001) - reflects severity</t>
  </si>
  <si>
    <t>whole cohort (both arms)</t>
  </si>
  <si>
    <t>glucocorticoid</t>
  </si>
  <si>
    <t>40 mg bid</t>
  </si>
  <si>
    <t>moderate-to-severe AIDS-PCP</t>
  </si>
  <si>
    <t>all these patients accepted the treatment of glucocorticoid</t>
  </si>
  <si>
    <t>Methods 2.1/Table 1</t>
  </si>
  <si>
    <t>all 122 patients received glucocorticoid 40 mg bid</t>
  </si>
  <si>
    <t>glucocorticoid (adjuvant steroid)</t>
  </si>
  <si>
    <t>high-dose (&gt;=1 mg/kg/d pred-eq) in 78/154; dose otherwise NR</t>
  </si>
  <si>
    <t>adjunctive; underlying autoimmune</t>
  </si>
  <si>
    <t>Partial (high-dose flag)</t>
  </si>
  <si>
    <t>81.8% (n = 126) of patients were receiving glucocorticoids ... High-dose steroids (&gt;=1 mg/kg/day prednisone equivalent) 21 (39.6) 57 (55.3) 0.047</t>
  </si>
  <si>
    <t>high-dose steroid independently associated with mortality (OR 2.29, 95% CI 1.07-4.90)</t>
  </si>
  <si>
    <t>prednisone-equivalent (corticosteroid)</t>
  </si>
  <si>
    <t>median 0.83 mg/kg/d (IQR 0.68-0.87); 0% pulse</t>
  </si>
  <si>
    <t>adjunctive for PJP</t>
  </si>
  <si>
    <t>the median dose was 0.83 mg/kg/d (IQR, 0.68-0.87 mg/kg/d) in the low-dose group</t>
  </si>
  <si>
    <t>prednisone-equivalent (corticosteroid); 25% methylprednisolone pulse</t>
  </si>
  <si>
    <t>median 1.32 mg/kg/d (IQR 1.12-2.07); pulse 500-1000 mg/d in 25%</t>
  </si>
  <si>
    <t>1.32 mg/kg/d (IQR, 1.12-2.07 mg/kg/d) in the high-dose group ... in the high-dose group, 25.0% received pulse therapy</t>
  </si>
  <si>
    <t>corticosteroid (prednisone-equivalent)</t>
  </si>
  <si>
    <t>starting median 60 mg (IQR 40-100); daily median 60 mg (IQR 42-79)</t>
  </si>
  <si>
    <t>7 (IQR 5-12)</t>
  </si>
  <si>
    <t>adjunctive for PcP</t>
  </si>
  <si>
    <t>within 48h of anti-PCP/diagnosis</t>
  </si>
  <si>
    <t>A total of 258 (80%) patients received corticosteroids within 48 h of the index date (early steroid group)</t>
  </si>
  <si>
    <t>corticosteroid (late or none)</t>
  </si>
  <si>
    <t>late daily median 60 mg (IQR 40-68)</t>
  </si>
  <si>
    <t>4 (IQR 1-10)</t>
  </si>
  <si>
    <t>after 48h (median 73h) in 20/65</t>
  </si>
  <si>
    <t>Steroid recipients after 48 h, n = 20</t>
  </si>
  <si>
    <t>moderate-to-severe PJP</t>
  </si>
  <si>
    <t>moderate to severe non-HIV-infected PJP patients received glucocorticoid treatment (n = 17) for 1 wk</t>
  </si>
  <si>
    <t>Treatment</t>
  </si>
  <si>
    <t>17/22</t>
  </si>
  <si>
    <t>corticosteroid</t>
  </si>
  <si>
    <t>Corticosteroid 108 (90.0) 26 (83.9) 82 (92.1) 0.330</t>
  </si>
  <si>
    <t>corticosteroids/immunosuppressants are the susceptibility background</t>
  </si>
  <si>
    <t>With the widespread use of corticosteroids and immunosuppressants, the incidence of pneumocystis pneumonia in non-HIV patients ... has continued to rise</t>
  </si>
  <si>
    <t>Abstract/Background</t>
  </si>
  <si>
    <t>adjunctive corticosteroid use during PCP treatment not reported per group</t>
  </si>
  <si>
    <t>corticosteroid (adjunctive)</t>
  </si>
  <si>
    <t>severe PCP</t>
  </si>
  <si>
    <t>All patients were treated with adjunctive corticosteroids.</t>
  </si>
  <si>
    <t>PCP treatment and outcomes</t>
  </si>
  <si>
    <t>all 14 patients</t>
  </si>
  <si>
    <t>6  Risk of bias (ROBINS-I / RoB 2)</t>
  </si>
  <si>
    <t>RoB tool</t>
  </si>
  <si>
    <t>D1</t>
  </si>
  <si>
    <t>D2</t>
  </si>
  <si>
    <t>D3</t>
  </si>
  <si>
    <t>D4</t>
  </si>
  <si>
    <t>D5</t>
  </si>
  <si>
    <t>D6</t>
  </si>
  <si>
    <t>D7</t>
  </si>
  <si>
    <t>Overall RoB</t>
  </si>
  <si>
    <t>Support for judgement</t>
  </si>
  <si>
    <t>ROBINS-I</t>
  </si>
  <si>
    <t>Serious</t>
  </si>
  <si>
    <t>Moderate</t>
  </si>
  <si>
    <t>Low</t>
  </si>
  <si>
    <t>D1: confounding by HIV status &amp; severity not fully adjusted (ROBINS-I). RoB2 for RCTs: read D1=Randomisation, D4=Deviations, D5=Missing, D6=Measurement, D7=Selection.</t>
  </si>
  <si>
    <t>Confounding by indication (steroids given to sicker patients), retrospective single-centre; IPW used but residual confounding likely; per-arm outcome counts not reported</t>
  </si>
  <si>
    <t>Retrospective multicentre prognostic cohort; confounding by indication for corticosteroids; mixed diagnostic certainty (high Ct/low copies threshold risks overdiagnosis)</t>
  </si>
  <si>
    <t>Small single-centre case series, no comparator, selection by co-trimoxazole intolerance/contraindication; descriptive only</t>
  </si>
  <si>
    <t>Large multicentre retrospective; prognostic (not treatment-comparison) design; adjuvant corticosteroid not standardized; some outcomes with missing data</t>
  </si>
  <si>
    <t>Small retrospective multicentre; prognostic design in LT recipients on background steroids; limited power; underlying steroid immunosuppression confounds adjunctive steroid effect</t>
  </si>
  <si>
    <t>Small single-centre retrospective TDM study; groups defined by drug level (post-baseline); baseline imbalance in GFR/PaO2/PCT; inconsistent group counts reported</t>
  </si>
  <si>
    <t>Historical-control (before-after) design; very small (n=20); temporal confounding between periods; single-centre; but arms balanced at baseline and per-arm counts reported</t>
  </si>
  <si>
    <t>Retrospective multicentre prognostic cohort by ILD status; heterogeneous underlying disease; PCR-based diagnosis in ~75% (possible colonization); steroid pulse imbalanced between groups</t>
  </si>
  <si>
    <t>Confounding by indication (sicker patients received AGT); retrospective multicentre; propensity adjustment attempted</t>
  </si>
  <si>
    <t>Critical</t>
  </si>
  <si>
    <t>Single-patient case report; no comparator; not usable for effect estimation</t>
  </si>
  <si>
    <t>Single-centre retrospective; no treatment comparison; prognostic-factor analysis</t>
  </si>
  <si>
    <t>Confounding by indication (combination for more severe patients / higher BDG); single-centre retrospective; small combination subgroups</t>
  </si>
  <si>
    <t>Strong confounding by indication (steroid users sicker); retrospective; PSM and IPTW applied</t>
  </si>
  <si>
    <t>Descriptive single-centre; comparison by HIV status not treatment; outcomes are toxicity endpoints, mortality only KM</t>
  </si>
  <si>
    <t>Single-centre retrospective; single regimen; time-to-treatment exposure with confounding; small n</t>
  </si>
  <si>
    <t>Uncontrolled compassionate-use case series; non-standardised effectiveness criteria; mixed HIV/non-HIV; no comparator</t>
  </si>
  <si>
    <t>RoB 2</t>
  </si>
  <si>
    <t>Double-blind, placebo-controlled, web-based randomisation with stratification; ITT analysis; complete 90-day follow-up. Some protocol deviations (rescue steroids in 8 placebo, 2 cortico over-dose).</t>
  </si>
  <si>
    <t>Confounding by indication; ST bundles caspofungin + steroid (cannot isolate effects); small single-centre retrospective; outcome assessment not blinded</t>
  </si>
  <si>
    <t>Prognostic study not treatment comparison; strong confounding by indication for treatments; single-centre retrospective over 15 years</t>
  </si>
  <si>
    <t>Confounding by indication for steroid dose; single-centre retrospective; small sample; multivariable adjustment attempted but residual confounding likely</t>
  </si>
  <si>
    <t>Prognostic study; strong confounding by indication (steroid marks severity); single-centre 13-month retrospective; small sample</t>
  </si>
  <si>
    <t>Non-randomised second-line selection by clinician; very small per-regimen n; strong confounding by severity (caspofungin group sicker/more bacteraemia); single-centre retrospective</t>
  </si>
  <si>
    <t>Case series n=11; no adjustment; missing PaO2/FiO2 data; extreme confounding by indication; not designed as comparison</t>
  </si>
  <si>
    <t>Descriptive paediatric case series n=10; no comparison group; no adjustment; single-centre</t>
  </si>
  <si>
    <t>Confounding by indication (steroids given to less-severe patients but sickest died), small single-centre retrospective spanning &gt;20 years, no controls</t>
  </si>
  <si>
    <t>Multicentre retrospective with propensity-score overlap weighting; residual confounding (LDH, respiratory status remained imbalanced in IPTW); dose chosen by attending physician</t>
  </si>
  <si>
    <t>Single-centre retrospective, no covariate adjustment, dose chosen by physician; low-dose group had milder disease (fewer intubated, no hematologic malignancy) creating confounding by indication; authors explicitly declined direct statistical comparison</t>
  </si>
  <si>
    <t>No information</t>
  </si>
  <si>
    <t>Descriptive single-arm cohort with no treatment comparison; no per-arm outcomes; treatment not the exposure of interest</t>
  </si>
  <si>
    <t>Very small (n=5) single-centre pediatric case series, no comparator arm; primary focus diagnostic (mNGS)</t>
  </si>
  <si>
    <t>Very small (n=18) descriptive cohort; composite outcome (death or ICU); caspofungin/steroid subgroups not compared with adjustment; confounding by indication</t>
  </si>
  <si>
    <t>Large multicentre (single health system) retrospective with rigorous MSM/IPTW time-varying confounding adjustment; residual confounding possible (E-value 1.10); steroid administration nonrandom</t>
  </si>
  <si>
    <t>Single-centre retrospective, small groups, treatment allocation non-randomised (confounding by indication; salvage group inherently a failure population); baseline severity broadly similar across groups but unadjusted comparisons</t>
  </si>
  <si>
    <t>Confounding by indication (sicker patients received combinations); small single-centre retrospective; authors note subgroups underpowered</t>
  </si>
  <si>
    <t>Confounding by indication for AC; residual confounding on cumulative steroid dose/duration acknowledged; PS matching mitigates but observational</t>
  </si>
  <si>
    <t>Single-centre retrospective over 17 years; TMP-SMX under-dosing confounded by renal impairment (authors note); mixed HIV/non-HIV</t>
  </si>
  <si>
    <t>Administrative database, PCP by ICD-10 only (misclassification); no laboratory/microbiological confirmation; PS overlap weighting balances measured confounders</t>
  </si>
  <si>
    <t>Administrative database, PCP by ICD-10 only; confounding by indication (combination for more severe disease acknowledged); no BDG/severity biomarkers; PS overlap weighting balances measured covariates</t>
  </si>
  <si>
    <t>Administrative database, PCP by ICD-10 only; confounding by indication (pentamidine for TMP-SMX-intolerant/sicker); PS overlap weighting + IV analysis mitigate</t>
  </si>
  <si>
    <t>Retrospective; selection bias (caspofungin timing at physician/economic discretion, some after TMP/SMZ failure per authors); no fixed steroid schedule; HIV-positive cohort</t>
  </si>
  <si>
    <t>Small single-centre retrospective; biomarkers not measured in all patients; possible P. jirovecii colonisation; prognostic (not treatment-comparative) design</t>
  </si>
  <si>
    <t>Non-randomised allocation; clinical (non-molecular) diagnosis; internally inconsistent subgroup counts; single-centre</t>
  </si>
  <si>
    <t>Strong confounding by indication (caspofungin used as salvage/for coinfection); prognostic-factor design, not a treatment comparison</t>
  </si>
  <si>
    <t>Confounding by indication for steroid dose despite IPTW; single-centre retrospective</t>
  </si>
  <si>
    <t>Retrospective but large with propensity matching and severity adjustment; residual confounding by indication acknowledged</t>
  </si>
  <si>
    <t>Single-arm case series, no comparator, likely selection for milder cases (0 deaths, no invasive MV)</t>
  </si>
  <si>
    <t>Retrospective, selection bias in caspofungin use acknowledged; IPTW-adjusted; partial overlap with prior cohorts</t>
  </si>
  <si>
    <t>Confounding by indication (sicker patients received combination therapy); underpowered subgroups; single-centre; possible duplicate of Qi2025</t>
  </si>
  <si>
    <t>Very small n=14; first-line vs salvage timing confounded (salvage patients had failed prior therapy); single-institution</t>
  </si>
  <si>
    <t>7  Author contact</t>
  </si>
  <si>
    <t>Data requested</t>
  </si>
  <si>
    <t>Corresponding author</t>
  </si>
  <si>
    <t>Email</t>
  </si>
  <si>
    <t>Attempt 1 date</t>
  </si>
  <si>
    <t>Attempt 2 date</t>
  </si>
  <si>
    <t>Attempt 3 date</t>
  </si>
  <si>
    <t>Status</t>
  </si>
  <si>
    <t>Data received / note</t>
  </si>
  <si>
    <t>Per-arm 30-day mortality; per-arm baseline BDG</t>
  </si>
  <si>
    <t>J. Smith</t>
  </si>
  <si>
    <t>j.smith@example.org</t>
  </si>
  <si>
    <t>2026-08-10</t>
  </si>
  <si>
    <t>Attempt 1 sent</t>
  </si>
  <si>
    <t>8  Study index / status dashboard</t>
  </si>
  <si>
    <t>Dashboard (live counts)</t>
  </si>
  <si>
    <t>First author</t>
  </si>
  <si>
    <t>Year</t>
  </si>
  <si>
    <t>Primary outcome?</t>
  </si>
  <si>
    <t>PDF filename</t>
  </si>
  <si>
    <t>Extraction status</t>
  </si>
  <si>
    <t>Priority</t>
  </si>
  <si>
    <t>Reviewer A done</t>
  </si>
  <si>
    <t>Reviewer B done</t>
  </si>
  <si>
    <t>Total records</t>
  </si>
  <si>
    <t>Non-HIV</t>
  </si>
  <si>
    <t>High</t>
  </si>
  <si>
    <t>In progress</t>
  </si>
  <si>
    <t>Excluded</t>
  </si>
  <si>
    <t>Reconciled</t>
  </si>
  <si>
    <t>Codebook / data dictionary</t>
  </si>
  <si>
    <t>Field / term</t>
  </si>
  <si>
    <t>Allowed values (drop-down)</t>
  </si>
  <si>
    <t>Definition &amp; extraction rule</t>
  </si>
  <si>
    <t>SHEET 1 - STUDY CHARACTERISTICS</t>
  </si>
  <si>
    <t>AuthorYear key (e.g. Smith2019). Join key - must match across ALL sheets.</t>
  </si>
  <si>
    <t>RCT; Prospective cohort; Retrospective cohort; Case-control; Quasi-experimental (before-after); Post-hoc analysis of RCT/cohort; Case series; Other</t>
  </si>
  <si>
    <t>Primary design; drives RoB tool (RoB 2 for RCT, ROBINS-I otherwise).</t>
  </si>
  <si>
    <t>HIV-positive; Non-HIV immunocompromised; Mixed; NR</t>
  </si>
  <si>
    <t>Primary effect modifier. Record the population's HIV status; 'Mixed' if both, and give % HIV+ per arm on Sheet 2.</t>
  </si>
  <si>
    <t>Proven (microscopy/PCR/BAL); Probable; Clinical/possible; Mixed; NR</t>
  </si>
  <si>
    <t>Proven = organism seen (microscopy/immunofluorescence) or positive PCR on respiratory sample; Probable = clinical+radiology+supportive test; record method verbatim.</t>
  </si>
  <si>
    <t>free text (use Node vocab)</t>
  </si>
  <si>
    <t>Treatment nodes the study contributes; separate with ';'.</t>
  </si>
  <si>
    <t>Yes - all/most; Yes - subset; No; NR</t>
  </si>
  <si>
    <t>Whether adjunctive corticosteroids were used; detail on Sheet 5, per-arm % on Sheet 2.</t>
  </si>
  <si>
    <t>PaO2 (room air); A-a gradient; SpO2/FiO2; PaO2/FiO2; Resp support at baseline; APACHE/SOFA; None/NR</t>
  </si>
  <si>
    <t>Which severity metric the study reports (effect modifier). Value entered verbatim + per-arm on Sheet 2.</t>
  </si>
  <si>
    <t>Yes; No; NR; NA</t>
  </si>
  <si>
    <t>Whether 1,3-beta-D-glucan is reported anywhere; if Yes, complete Sheet 4.</t>
  </si>
  <si>
    <t>Include - network; Include - pairwise only; Include - sensitivity only; Background / context only; Exclude; TBD - confirm at full text</t>
  </si>
  <si>
    <t>Final call at full text. 'Include - sensitivity only' = pooled/other-combination arms feeding sensitivity analyses only.</t>
  </si>
  <si>
    <t>SHEET 2 - ARMS &amp; COVARIATES</t>
  </si>
  <si>
    <t>TMP-SMX (reference); TMP-SMX + echinocandin (any); TMP-SMX + caspofungin; TMP-SMX + micafungin; TMP-SMX + anidulafungin; Clindamycin-primaquine; Atovaquone; IV pentamidine; Dapsone +/- TMP; Echinocandin monotherapy; Combination (other, specify); Monotherapy (pooled); Other</t>
  </si>
  <si>
    <t>One row per arm. 'Monotherapy (pooled)' / 'Combination (other)' feed sensitivity analyses only.</t>
  </si>
  <si>
    <t>numeric %</t>
  </si>
  <si>
    <t>Per-arm proportion receiving adjunctive corticosteroids (effect modifier). Detail on Sheet 5.</t>
  </si>
  <si>
    <t>numeric + units</t>
  </si>
  <si>
    <t>Per-arm baseline BDG as a covariate; full detail/kinetics on Sheet 4.</t>
  </si>
  <si>
    <t>Baseline PaO2 / A-a gradient</t>
  </si>
  <si>
    <t>numeric</t>
  </si>
  <si>
    <t>Continuous baseline-severity covariates (record units; state room air vs supplemental O2).</t>
  </si>
  <si>
    <t>numeric days</t>
  </si>
  <si>
    <t>Delay from admission to anti-PCP start (candidate effect modifier).</t>
  </si>
  <si>
    <t>SHEET 3 - OUTCOMES</t>
  </si>
  <si>
    <t>Mortality - in-hospital; Mortality - 30 day; Mortality - 90 day; Mortality - other (specify); Treatment failure (study-defined); Respiratory failure / mechanical ventilation; ICU admission; Change of therapy; Clinical response/cure; Length of stay; beta-D-glucan response; Adverse event - any; Discontinuation due to toxicity; Nephrotoxicity; Hepatotoxicity; Cytopenia; Hyperkalaemia; Rash/hypersensitivity; Other (specify)</t>
  </si>
  <si>
    <t>Primary (PROVISIONAL): all-cause mortality (in-hospital / 30d / 90d). Secondary: treatment failure, respiratory failure/mechanical ventilation, ICU admission, change of therapy, clinical response, LOS, BDG response, toxicity/discontinuation.</t>
  </si>
  <si>
    <t>Events (n) / Denominator (N)</t>
  </si>
  <si>
    <t>integer</t>
  </si>
  <si>
    <t>Per-arm raw counts - the meta-analysis inputs. If the denominator differs from arm N, record actual N and explain in Note.</t>
  </si>
  <si>
    <t>Effect as reported</t>
  </si>
  <si>
    <t>text</t>
  </si>
  <si>
    <t>Adjusted OR/HR/RR + 95% CI exactly as reported; list adjustment covariates in the next column.</t>
  </si>
  <si>
    <t>Verbatim quote / Page</t>
  </si>
  <si>
    <t>MANDATORY for every count: paste the sentence/table cell and its page.</t>
  </si>
  <si>
    <t>SHEET 4 - BETA-D-GLUCAN</t>
  </si>
  <si>
    <t>Baseline mean; Baseline median; Peak; Follow-up/nadir; Change from baseline; Other</t>
  </si>
  <si>
    <t>Which summary is reported (baseline mean/median, peak, follow-up/nadir, change).</t>
  </si>
  <si>
    <t>Fungitell; Wako; Goldstream; Other; NR; NA</t>
  </si>
  <si>
    <t>BDG assay used; different assays are NOT directly comparable - record verbatim cut-off.</t>
  </si>
  <si>
    <t>Association with outcome</t>
  </si>
  <si>
    <t>Any reported relationship between BDG (baseline or kinetics) and an outcome; quote verbatim.</t>
  </si>
  <si>
    <t>SHEET 5 - CORTICOSTEROIDS</t>
  </si>
  <si>
    <t>Category of adjunctive corticosteroid use in the arm/study.</t>
  </si>
  <si>
    <t>Severe PCP (PaO2&lt;70/A-a&gt;35); Underlying disease; Physician discretion; NR; NA</t>
  </si>
  <si>
    <t>Why steroids were given (e.g. severe PCP per PaO2&lt;70 mmHg / A-a&gt;35).</t>
  </si>
  <si>
    <t>When steroids started relative to anti-PCP therapy (e.g. within 72h).</t>
  </si>
  <si>
    <t>SHEET 6 - RISK OF BIAS</t>
  </si>
  <si>
    <t>ROBINS-I; RoB 2</t>
  </si>
  <si>
    <t>ROBINS-I for non-randomised; RoB 2 for RCTs.</t>
  </si>
  <si>
    <t>ROBINS-I domains (D1-D7)</t>
  </si>
  <si>
    <t>Low; Moderate; Serious; Critical; No information</t>
  </si>
  <si>
    <t>D1 Confounding (pre-specify: HIV status, baseline severity, corticosteroids, time to treatment); D2 Selection; D3 Classification of interventions; D4 Deviations; D5 Missing data; D6 Measurement of outcome; D7 Selection of reported result.</t>
  </si>
  <si>
    <t>RoB 2 mapping (RCTs)</t>
  </si>
  <si>
    <t>Low; Some concerns; High</t>
  </si>
  <si>
    <t>For RCTs read the domain columns as RoB 2 (D1=Randomisation; D4=Deviations; D5=Missing; D6=Measurement; D7=Selection of reported result). Note 'RoB2' in the Support cell.</t>
  </si>
  <si>
    <t>SHEET 7 - AUTHOR CONTACT</t>
  </si>
  <si>
    <t>Not required; Not started; Attempt 1 sent; Attempt 2 sent; Attempt 3 sent; Responded - data received; Responded - declined; No response (closed)</t>
  </si>
  <si>
    <t>Up to 3 attempts at ~2-week intervals before 'No response (closed)'.</t>
  </si>
  <si>
    <t>PROVENANCE CONVENTION</t>
  </si>
  <si>
    <t>Yellow cell</t>
  </si>
  <si>
    <t>A value to fill in / provisional. Confirm vs PDF, add quote+page.</t>
  </si>
  <si>
    <t>Grey italic row</t>
  </si>
  <si>
    <t>Worked EXAMPLE. Never analyse or overwrite.</t>
  </si>
  <si>
    <t>HIV_status</t>
  </si>
  <si>
    <t>PCP_certainty</t>
  </si>
  <si>
    <t>Node</t>
  </si>
  <si>
    <t>Steroid_use</t>
  </si>
  <si>
    <t>Steroid_indication</t>
  </si>
  <si>
    <t>Severity_measure</t>
  </si>
  <si>
    <t>BDG_assay</t>
  </si>
  <si>
    <t>BDG_metric</t>
  </si>
  <si>
    <t>Eligibility</t>
  </si>
  <si>
    <t>RoB_tool</t>
  </si>
  <si>
    <t>RoB_judg</t>
  </si>
  <si>
    <t>RoB2_judg</t>
  </si>
  <si>
    <t>Extract_status</t>
  </si>
  <si>
    <t>Contact_status</t>
  </si>
  <si>
    <t>YesNoNRNA</t>
  </si>
  <si>
    <t>PaO2 (room air)</t>
  </si>
  <si>
    <t>Baseline mean</t>
  </si>
  <si>
    <t>Not started</t>
  </si>
  <si>
    <t>Not required</t>
  </si>
  <si>
    <t>Prospective cohort</t>
  </si>
  <si>
    <t>Underlying disease</t>
  </si>
  <si>
    <t>A-a gradient</t>
  </si>
  <si>
    <t>Wako</t>
  </si>
  <si>
    <t>Some concerns</t>
  </si>
  <si>
    <t>Reviewer B</t>
  </si>
  <si>
    <t>Medium</t>
  </si>
  <si>
    <t>National registry</t>
  </si>
  <si>
    <t>Physician discretion</t>
  </si>
  <si>
    <t>SpO2/FiO2</t>
  </si>
  <si>
    <t>Goldstream</t>
  </si>
  <si>
    <t>Peak</t>
  </si>
  <si>
    <t>Consensus</t>
  </si>
  <si>
    <t>Case-control</t>
  </si>
  <si>
    <t>Outpatient</t>
  </si>
  <si>
    <t>TMP-SMX + micafungin</t>
  </si>
  <si>
    <t>Inhaled</t>
  </si>
  <si>
    <t>Follow-up/nadir</t>
  </si>
  <si>
    <t>Attempt 2 sent</t>
  </si>
  <si>
    <t>REL (adjudicator)</t>
  </si>
  <si>
    <t>TMP-SMX + anidulafungin</t>
  </si>
  <si>
    <t>Resp support at baseline</t>
  </si>
  <si>
    <t>Change from baseline</t>
  </si>
  <si>
    <t>Exclude</t>
  </si>
  <si>
    <t>Conflicts flagged</t>
  </si>
  <si>
    <t>Attempt 3 sent</t>
  </si>
  <si>
    <t>Post-hoc analysis of RCT/cohort</t>
  </si>
  <si>
    <t>APACHE/SOFA</t>
  </si>
  <si>
    <t>TBD - confirm at full text</t>
  </si>
  <si>
    <t>Reconciled / consensus</t>
  </si>
  <si>
    <t>Responded - data received</t>
  </si>
  <si>
    <t>Atovaquone</t>
  </si>
  <si>
    <t>None/NR</t>
  </si>
  <si>
    <t>Responded - declined</t>
  </si>
  <si>
    <t>No response (closed)</t>
  </si>
  <si>
    <t>Dapsone +/- TMP</t>
  </si>
  <si>
    <t>Echinocandin monotherapy</t>
  </si>
  <si>
    <t>Combination (other, specify)</t>
  </si>
  <si>
    <t>Other (specify)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</si>
</sst>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F4E79"/>
      <name val="Arial"/>
      <family val="2"/>
    </font>
    <font>
      <i/>
      <sz val="10"/>
      <color rgb="FF80808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b/>
      <sz val="9"/>
      <color rgb="FF1F4E7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0" xfId="0" applyFont="1"/>
    <xf numFmtId="0" fontId="5" fillId="0" borderId="0" xfId="0" applyFont="1"/>
    <xf numFmtId="0" fontId="4" fillId="0" borderId="0" xfId="0" applyFont="1"/>
    <xf numFmtId="0" fontId="8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26" customWidth="1"/>
    <col min="3" max="3" width="120" customWidth="1"/>
  </cols>
  <sheetData>
    <row r="1" spans="2:3" ht="17" x14ac:dyDescent="0.2">
      <c r="B1" s="1" t="s">
        <v>0</v>
      </c>
    </row>
    <row r="2" spans="2:3" x14ac:dyDescent="0.2">
      <c r="B2" s="2" t="s">
        <v>1</v>
      </c>
    </row>
    <row r="4" spans="2:3" ht="45.75" customHeight="1" x14ac:dyDescent="0.2">
      <c r="B4" s="3" t="s">
        <v>2</v>
      </c>
      <c r="C4" s="4" t="s">
        <v>3</v>
      </c>
    </row>
    <row r="5" spans="2:3" ht="45.75" customHeight="1" x14ac:dyDescent="0.2">
      <c r="B5" s="3" t="s">
        <v>4</v>
      </c>
      <c r="C5" s="4" t="s">
        <v>5</v>
      </c>
    </row>
    <row r="6" spans="2:3" ht="45.75" customHeight="1" x14ac:dyDescent="0.2">
      <c r="B6" s="3" t="s">
        <v>6</v>
      </c>
      <c r="C6" s="4" t="s">
        <v>7</v>
      </c>
    </row>
    <row r="7" spans="2:3" ht="45.75" customHeight="1" x14ac:dyDescent="0.2">
      <c r="B7" s="3" t="s">
        <v>8</v>
      </c>
      <c r="C7" s="4" t="s">
        <v>9</v>
      </c>
    </row>
    <row r="8" spans="2:3" ht="45.75" customHeight="1" x14ac:dyDescent="0.2">
      <c r="B8" s="3" t="s">
        <v>10</v>
      </c>
      <c r="C8" s="4" t="s">
        <v>11</v>
      </c>
    </row>
    <row r="9" spans="2:3" ht="45.75" customHeight="1" x14ac:dyDescent="0.2">
      <c r="B9" s="3" t="s">
        <v>12</v>
      </c>
      <c r="C9" s="4" t="s">
        <v>13</v>
      </c>
    </row>
    <row r="10" spans="2:3" ht="45.75" customHeight="1" x14ac:dyDescent="0.2">
      <c r="B10" s="3" t="s">
        <v>14</v>
      </c>
      <c r="C10" s="4" t="s">
        <v>15</v>
      </c>
    </row>
    <row r="11" spans="2:3" ht="45.75" customHeight="1" x14ac:dyDescent="0.2">
      <c r="B11" s="3" t="s">
        <v>16</v>
      </c>
      <c r="C11" s="4" t="s">
        <v>17</v>
      </c>
    </row>
    <row r="12" spans="2:3" ht="45.75" customHeight="1" x14ac:dyDescent="0.2">
      <c r="B12" s="3" t="s">
        <v>18</v>
      </c>
      <c r="C12" s="4" t="s">
        <v>19</v>
      </c>
    </row>
    <row r="13" spans="2:3" ht="45.75" customHeight="1" x14ac:dyDescent="0.2">
      <c r="B13" s="3" t="s">
        <v>20</v>
      </c>
      <c r="C13" s="4" t="s">
        <v>21</v>
      </c>
    </row>
    <row r="14" spans="2:3" ht="45.75" customHeight="1" x14ac:dyDescent="0.2">
      <c r="B14" s="3" t="s">
        <v>22</v>
      </c>
      <c r="C14" s="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9"/>
  <sheetViews>
    <sheetView showGridLines="0" zoomScaleNormal="100" workbookViewId="0">
      <pane ySplit="3" topLeftCell="A1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10" customWidth="1"/>
    <col min="4" max="4" width="24" customWidth="1"/>
    <col min="5" max="7" width="16" customWidth="1"/>
    <col min="8" max="8" width="14" customWidth="1"/>
    <col min="9" max="10" width="12" customWidth="1"/>
    <col min="11" max="12" width="16" customWidth="1"/>
    <col min="13" max="13" width="22" customWidth="1"/>
    <col min="14" max="14" width="18" customWidth="1"/>
    <col min="15" max="15" width="26" customWidth="1"/>
    <col min="16" max="16" width="14" customWidth="1"/>
    <col min="17" max="17" width="12" customWidth="1"/>
    <col min="18" max="19" width="22" customWidth="1"/>
    <col min="20" max="21" width="18" customWidth="1"/>
    <col min="22" max="22" width="26" customWidth="1"/>
    <col min="23" max="23" width="16" customWidth="1"/>
    <col min="24" max="24" width="18" customWidth="1"/>
    <col min="25" max="25" width="26" customWidth="1"/>
    <col min="26" max="27" width="16" customWidth="1"/>
    <col min="28" max="28" width="18" customWidth="1"/>
    <col min="29" max="29" width="14" customWidth="1"/>
    <col min="30" max="30" width="30" customWidth="1"/>
  </cols>
  <sheetData>
    <row r="1" spans="1:30" ht="17" x14ac:dyDescent="0.2">
      <c r="A1" s="1" t="s">
        <v>24</v>
      </c>
    </row>
    <row r="3" spans="1:30" ht="42" customHeight="1" x14ac:dyDescent="0.2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U3" s="5" t="s">
        <v>45</v>
      </c>
      <c r="V3" s="5" t="s">
        <v>46</v>
      </c>
      <c r="W3" s="5" t="s">
        <v>47</v>
      </c>
      <c r="X3" s="5" t="s">
        <v>48</v>
      </c>
      <c r="Y3" s="5" t="s">
        <v>49</v>
      </c>
      <c r="Z3" s="5" t="s">
        <v>50</v>
      </c>
      <c r="AA3" s="5" t="s">
        <v>51</v>
      </c>
      <c r="AB3" s="5" t="s">
        <v>52</v>
      </c>
      <c r="AC3" s="5" t="s">
        <v>53</v>
      </c>
      <c r="AD3" s="5" t="s">
        <v>54</v>
      </c>
    </row>
    <row r="4" spans="1:30" ht="42" x14ac:dyDescent="0.2">
      <c r="A4" s="6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60</v>
      </c>
      <c r="G4" s="6" t="s">
        <v>61</v>
      </c>
      <c r="H4" s="6" t="s">
        <v>62</v>
      </c>
      <c r="I4" s="6" t="s">
        <v>63</v>
      </c>
      <c r="J4" s="6" t="s">
        <v>64</v>
      </c>
      <c r="K4" s="6" t="s">
        <v>65</v>
      </c>
      <c r="L4" s="6" t="s">
        <v>66</v>
      </c>
      <c r="M4" s="6" t="s">
        <v>67</v>
      </c>
      <c r="N4" s="6" t="s">
        <v>68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75</v>
      </c>
      <c r="V4" s="6" t="s">
        <v>76</v>
      </c>
      <c r="W4" s="6" t="s">
        <v>77</v>
      </c>
      <c r="X4" s="6" t="s">
        <v>78</v>
      </c>
      <c r="Y4" s="6" t="s">
        <v>79</v>
      </c>
      <c r="Z4" s="6" t="s">
        <v>77</v>
      </c>
      <c r="AA4" s="6" t="s">
        <v>80</v>
      </c>
      <c r="AB4" s="6" t="s">
        <v>81</v>
      </c>
      <c r="AC4" s="6" t="s">
        <v>82</v>
      </c>
      <c r="AD4" s="6" t="s">
        <v>83</v>
      </c>
    </row>
    <row r="5" spans="1:30" ht="98" x14ac:dyDescent="0.2">
      <c r="A5" s="7" t="s">
        <v>84</v>
      </c>
      <c r="B5" s="7" t="s">
        <v>85</v>
      </c>
      <c r="C5" s="7" t="s">
        <v>86</v>
      </c>
      <c r="D5" s="7" t="s">
        <v>87</v>
      </c>
      <c r="E5" s="7" t="s">
        <v>88</v>
      </c>
      <c r="F5" s="7" t="s">
        <v>60</v>
      </c>
      <c r="G5" s="7" t="s">
        <v>61</v>
      </c>
      <c r="H5" s="7" t="s">
        <v>89</v>
      </c>
      <c r="I5" s="7" t="s">
        <v>90</v>
      </c>
      <c r="J5" s="7" t="s">
        <v>91</v>
      </c>
      <c r="K5" s="7" t="s">
        <v>92</v>
      </c>
      <c r="L5" s="7" t="s">
        <v>66</v>
      </c>
      <c r="M5" s="7" t="s">
        <v>93</v>
      </c>
      <c r="N5" s="7" t="s">
        <v>94</v>
      </c>
      <c r="O5" s="7" t="s">
        <v>95</v>
      </c>
      <c r="P5" s="7" t="s">
        <v>96</v>
      </c>
      <c r="Q5" s="7" t="s">
        <v>97</v>
      </c>
      <c r="R5" s="7" t="s">
        <v>98</v>
      </c>
      <c r="S5" s="7" t="s">
        <v>99</v>
      </c>
      <c r="T5" s="7" t="s">
        <v>74</v>
      </c>
      <c r="U5" s="7" t="s">
        <v>100</v>
      </c>
      <c r="V5" s="7" t="s">
        <v>101</v>
      </c>
      <c r="W5" s="7" t="s">
        <v>80</v>
      </c>
      <c r="X5" s="7" t="s">
        <v>102</v>
      </c>
      <c r="Y5" s="7" t="s">
        <v>103</v>
      </c>
      <c r="Z5" s="7" t="s">
        <v>104</v>
      </c>
      <c r="AA5" s="7" t="s">
        <v>77</v>
      </c>
      <c r="AB5" s="7" t="s">
        <v>105</v>
      </c>
      <c r="AC5" s="7" t="s">
        <v>82</v>
      </c>
      <c r="AD5" s="7" t="s">
        <v>106</v>
      </c>
    </row>
    <row r="6" spans="1:30" ht="112" x14ac:dyDescent="0.2">
      <c r="A6" s="7" t="s">
        <v>107</v>
      </c>
      <c r="B6" s="7" t="s">
        <v>108</v>
      </c>
      <c r="C6" s="7" t="s">
        <v>109</v>
      </c>
      <c r="D6" s="7" t="s">
        <v>110</v>
      </c>
      <c r="E6" s="7" t="s">
        <v>111</v>
      </c>
      <c r="F6" s="7" t="s">
        <v>60</v>
      </c>
      <c r="G6" s="7" t="s">
        <v>61</v>
      </c>
      <c r="H6" s="7" t="s">
        <v>112</v>
      </c>
      <c r="I6" s="7" t="s">
        <v>113</v>
      </c>
      <c r="J6" s="7" t="s">
        <v>114</v>
      </c>
      <c r="K6" s="7" t="s">
        <v>92</v>
      </c>
      <c r="L6" s="7" t="s">
        <v>66</v>
      </c>
      <c r="M6" s="7" t="s">
        <v>115</v>
      </c>
      <c r="N6" s="7" t="s">
        <v>116</v>
      </c>
      <c r="O6" s="7" t="s">
        <v>117</v>
      </c>
      <c r="P6" s="7" t="s">
        <v>118</v>
      </c>
      <c r="Q6" s="7" t="s">
        <v>119</v>
      </c>
      <c r="R6" s="7" t="s">
        <v>120</v>
      </c>
      <c r="S6" s="7" t="s">
        <v>99</v>
      </c>
      <c r="T6" s="7" t="s">
        <v>74</v>
      </c>
      <c r="U6" s="7" t="s">
        <v>121</v>
      </c>
      <c r="V6" s="7" t="s">
        <v>122</v>
      </c>
      <c r="W6" s="7" t="s">
        <v>77</v>
      </c>
      <c r="X6" s="7" t="s">
        <v>102</v>
      </c>
      <c r="Y6" s="7" t="s">
        <v>123</v>
      </c>
      <c r="Z6" s="7" t="s">
        <v>77</v>
      </c>
      <c r="AA6" s="7" t="s">
        <v>80</v>
      </c>
      <c r="AB6" s="7" t="s">
        <v>105</v>
      </c>
      <c r="AC6" s="7" t="s">
        <v>82</v>
      </c>
      <c r="AD6" s="7" t="s">
        <v>124</v>
      </c>
    </row>
    <row r="7" spans="1:30" ht="154" x14ac:dyDescent="0.2">
      <c r="A7" s="7" t="s">
        <v>125</v>
      </c>
      <c r="B7" s="7" t="s">
        <v>126</v>
      </c>
      <c r="C7" s="7" t="s">
        <v>109</v>
      </c>
      <c r="D7" s="7" t="s">
        <v>127</v>
      </c>
      <c r="E7" s="7" t="s">
        <v>128</v>
      </c>
      <c r="F7" s="7" t="s">
        <v>129</v>
      </c>
      <c r="G7" s="7" t="s">
        <v>130</v>
      </c>
      <c r="H7" s="7" t="s">
        <v>89</v>
      </c>
      <c r="I7" s="7" t="s">
        <v>131</v>
      </c>
      <c r="J7" s="7" t="s">
        <v>132</v>
      </c>
      <c r="K7" s="7" t="s">
        <v>92</v>
      </c>
      <c r="L7" s="7" t="s">
        <v>66</v>
      </c>
      <c r="M7" s="7" t="s">
        <v>133</v>
      </c>
      <c r="N7" s="7" t="s">
        <v>68</v>
      </c>
      <c r="O7" s="7" t="s">
        <v>134</v>
      </c>
      <c r="P7" s="7" t="s">
        <v>135</v>
      </c>
      <c r="Q7" s="7" t="s">
        <v>136</v>
      </c>
      <c r="R7" s="7" t="s">
        <v>137</v>
      </c>
      <c r="S7" s="7" t="s">
        <v>138</v>
      </c>
      <c r="T7" s="7" t="s">
        <v>139</v>
      </c>
      <c r="U7" s="7" t="s">
        <v>140</v>
      </c>
      <c r="V7" s="7" t="s">
        <v>141</v>
      </c>
      <c r="W7" s="7" t="s">
        <v>77</v>
      </c>
      <c r="X7" s="7" t="s">
        <v>102</v>
      </c>
      <c r="Y7" s="7" t="s">
        <v>142</v>
      </c>
      <c r="Z7" s="7" t="s">
        <v>77</v>
      </c>
      <c r="AA7" s="7" t="s">
        <v>80</v>
      </c>
      <c r="AB7" s="7" t="s">
        <v>105</v>
      </c>
      <c r="AC7" s="7" t="s">
        <v>82</v>
      </c>
      <c r="AD7" s="7" t="s">
        <v>143</v>
      </c>
    </row>
    <row r="8" spans="1:30" ht="140" x14ac:dyDescent="0.2">
      <c r="A8" s="7" t="s">
        <v>144</v>
      </c>
      <c r="B8" s="7" t="s">
        <v>145</v>
      </c>
      <c r="C8" s="7" t="s">
        <v>146</v>
      </c>
      <c r="D8" s="7" t="s">
        <v>147</v>
      </c>
      <c r="E8" s="7" t="s">
        <v>148</v>
      </c>
      <c r="F8" s="7" t="s">
        <v>60</v>
      </c>
      <c r="G8" s="7" t="s">
        <v>61</v>
      </c>
      <c r="H8" s="7" t="s">
        <v>149</v>
      </c>
      <c r="I8" s="7" t="s">
        <v>150</v>
      </c>
      <c r="J8" s="7" t="s">
        <v>114</v>
      </c>
      <c r="K8" s="7" t="s">
        <v>92</v>
      </c>
      <c r="L8" s="7" t="s">
        <v>116</v>
      </c>
      <c r="M8" s="7" t="s">
        <v>151</v>
      </c>
      <c r="N8" s="7" t="s">
        <v>116</v>
      </c>
      <c r="O8" s="7" t="s">
        <v>152</v>
      </c>
      <c r="P8" s="7" t="s">
        <v>153</v>
      </c>
      <c r="Q8" s="7" t="s">
        <v>154</v>
      </c>
      <c r="R8" s="7" t="s">
        <v>155</v>
      </c>
      <c r="S8" s="7" t="s">
        <v>99</v>
      </c>
      <c r="T8" s="7" t="s">
        <v>74</v>
      </c>
      <c r="U8" s="7" t="s">
        <v>156</v>
      </c>
      <c r="V8" s="7" t="s">
        <v>157</v>
      </c>
      <c r="W8" s="7" t="s">
        <v>80</v>
      </c>
      <c r="X8" s="7" t="s">
        <v>102</v>
      </c>
      <c r="Y8" s="7" t="s">
        <v>158</v>
      </c>
      <c r="Z8" s="7" t="s">
        <v>77</v>
      </c>
      <c r="AA8" s="7" t="s">
        <v>80</v>
      </c>
      <c r="AB8" s="7" t="s">
        <v>105</v>
      </c>
      <c r="AC8" s="7" t="s">
        <v>82</v>
      </c>
      <c r="AD8" s="7" t="s">
        <v>159</v>
      </c>
    </row>
    <row r="9" spans="1:30" ht="168" x14ac:dyDescent="0.2">
      <c r="A9" s="7" t="s">
        <v>160</v>
      </c>
      <c r="B9" s="7" t="s">
        <v>161</v>
      </c>
      <c r="C9" s="7" t="s">
        <v>162</v>
      </c>
      <c r="D9" s="7" t="s">
        <v>163</v>
      </c>
      <c r="E9" s="7" t="s">
        <v>164</v>
      </c>
      <c r="F9" s="7" t="s">
        <v>60</v>
      </c>
      <c r="G9" s="7" t="s">
        <v>61</v>
      </c>
      <c r="H9" s="7" t="s">
        <v>165</v>
      </c>
      <c r="I9" s="7" t="s">
        <v>90</v>
      </c>
      <c r="J9" s="7" t="s">
        <v>166</v>
      </c>
      <c r="K9" s="7" t="s">
        <v>92</v>
      </c>
      <c r="L9" s="7" t="s">
        <v>66</v>
      </c>
      <c r="M9" s="7" t="s">
        <v>167</v>
      </c>
      <c r="N9" s="7" t="s">
        <v>116</v>
      </c>
      <c r="O9" s="7" t="s">
        <v>168</v>
      </c>
      <c r="P9" s="7" t="s">
        <v>96</v>
      </c>
      <c r="Q9" s="7" t="s">
        <v>169</v>
      </c>
      <c r="R9" s="7" t="s">
        <v>170</v>
      </c>
      <c r="S9" s="7" t="s">
        <v>99</v>
      </c>
      <c r="T9" s="7" t="s">
        <v>139</v>
      </c>
      <c r="U9" s="7" t="s">
        <v>171</v>
      </c>
      <c r="V9" s="7" t="s">
        <v>172</v>
      </c>
      <c r="W9" s="7" t="s">
        <v>80</v>
      </c>
      <c r="X9" s="7" t="s">
        <v>102</v>
      </c>
      <c r="Y9" s="7" t="s">
        <v>173</v>
      </c>
      <c r="Z9" s="7" t="s">
        <v>77</v>
      </c>
      <c r="AA9" s="7" t="s">
        <v>80</v>
      </c>
      <c r="AB9" s="7" t="s">
        <v>105</v>
      </c>
      <c r="AC9" s="7" t="s">
        <v>82</v>
      </c>
      <c r="AD9" s="7" t="s">
        <v>174</v>
      </c>
    </row>
    <row r="10" spans="1:30" ht="140" x14ac:dyDescent="0.2">
      <c r="A10" s="7" t="s">
        <v>175</v>
      </c>
      <c r="B10" s="7" t="s">
        <v>176</v>
      </c>
      <c r="C10" s="7" t="s">
        <v>177</v>
      </c>
      <c r="D10" s="7" t="s">
        <v>178</v>
      </c>
      <c r="E10" s="7" t="s">
        <v>179</v>
      </c>
      <c r="F10" s="7" t="s">
        <v>180</v>
      </c>
      <c r="G10" s="7" t="s">
        <v>61</v>
      </c>
      <c r="H10" s="7" t="s">
        <v>89</v>
      </c>
      <c r="I10" s="7" t="s">
        <v>181</v>
      </c>
      <c r="J10" s="7" t="s">
        <v>182</v>
      </c>
      <c r="K10" s="7" t="s">
        <v>92</v>
      </c>
      <c r="L10" s="7" t="s">
        <v>66</v>
      </c>
      <c r="M10" s="7" t="s">
        <v>183</v>
      </c>
      <c r="N10" s="7" t="s">
        <v>68</v>
      </c>
      <c r="O10" s="7" t="s">
        <v>184</v>
      </c>
      <c r="P10" s="7" t="s">
        <v>153</v>
      </c>
      <c r="Q10" s="7" t="s">
        <v>185</v>
      </c>
      <c r="R10" s="7" t="s">
        <v>186</v>
      </c>
      <c r="S10" s="7" t="s">
        <v>99</v>
      </c>
      <c r="T10" s="7" t="s">
        <v>187</v>
      </c>
      <c r="U10" s="7" t="s">
        <v>188</v>
      </c>
      <c r="V10" s="7" t="s">
        <v>189</v>
      </c>
      <c r="W10" s="7" t="s">
        <v>77</v>
      </c>
      <c r="X10" s="7" t="s">
        <v>102</v>
      </c>
      <c r="Y10" s="7" t="s">
        <v>190</v>
      </c>
      <c r="Z10" s="7" t="s">
        <v>77</v>
      </c>
      <c r="AA10" s="7" t="s">
        <v>80</v>
      </c>
      <c r="AB10" s="7" t="s">
        <v>105</v>
      </c>
      <c r="AC10" s="7" t="s">
        <v>82</v>
      </c>
      <c r="AD10" s="7" t="s">
        <v>191</v>
      </c>
    </row>
    <row r="11" spans="1:30" ht="154" x14ac:dyDescent="0.2">
      <c r="A11" s="7" t="s">
        <v>192</v>
      </c>
      <c r="B11" s="7" t="s">
        <v>193</v>
      </c>
      <c r="C11" s="7" t="s">
        <v>194</v>
      </c>
      <c r="D11" s="7" t="s">
        <v>195</v>
      </c>
      <c r="E11" s="7" t="s">
        <v>196</v>
      </c>
      <c r="F11" s="7" t="s">
        <v>180</v>
      </c>
      <c r="G11" s="7" t="s">
        <v>197</v>
      </c>
      <c r="H11" s="7" t="s">
        <v>89</v>
      </c>
      <c r="I11" s="7" t="s">
        <v>198</v>
      </c>
      <c r="J11" s="7" t="s">
        <v>199</v>
      </c>
      <c r="K11" s="7" t="s">
        <v>65</v>
      </c>
      <c r="L11" s="7" t="s">
        <v>66</v>
      </c>
      <c r="M11" s="7" t="s">
        <v>200</v>
      </c>
      <c r="N11" s="7" t="s">
        <v>68</v>
      </c>
      <c r="O11" s="7" t="s">
        <v>201</v>
      </c>
      <c r="P11" s="7" t="s">
        <v>202</v>
      </c>
      <c r="Q11" s="7" t="s">
        <v>203</v>
      </c>
      <c r="R11" s="7" t="s">
        <v>204</v>
      </c>
      <c r="S11" s="7" t="s">
        <v>205</v>
      </c>
      <c r="T11" s="7" t="s">
        <v>139</v>
      </c>
      <c r="U11" s="7" t="s">
        <v>206</v>
      </c>
      <c r="V11" s="7" t="s">
        <v>207</v>
      </c>
      <c r="W11" s="7" t="s">
        <v>77</v>
      </c>
      <c r="X11" s="7" t="s">
        <v>208</v>
      </c>
      <c r="Y11" s="7" t="s">
        <v>209</v>
      </c>
      <c r="Z11" s="7" t="s">
        <v>77</v>
      </c>
      <c r="AA11" s="7" t="s">
        <v>80</v>
      </c>
      <c r="AB11" s="7" t="s">
        <v>105</v>
      </c>
      <c r="AC11" s="7" t="s">
        <v>82</v>
      </c>
      <c r="AD11" s="7" t="s">
        <v>210</v>
      </c>
    </row>
    <row r="12" spans="1:30" ht="126" x14ac:dyDescent="0.2">
      <c r="A12" s="7" t="s">
        <v>211</v>
      </c>
      <c r="B12" s="7" t="s">
        <v>212</v>
      </c>
      <c r="C12" s="7" t="s">
        <v>162</v>
      </c>
      <c r="D12" s="7" t="s">
        <v>213</v>
      </c>
      <c r="E12" s="7" t="s">
        <v>214</v>
      </c>
      <c r="F12" s="7" t="s">
        <v>215</v>
      </c>
      <c r="G12" s="7" t="s">
        <v>61</v>
      </c>
      <c r="H12" s="7" t="s">
        <v>216</v>
      </c>
      <c r="I12" s="7" t="s">
        <v>217</v>
      </c>
      <c r="J12" s="7" t="s">
        <v>218</v>
      </c>
      <c r="K12" s="7" t="s">
        <v>92</v>
      </c>
      <c r="L12" s="7" t="s">
        <v>66</v>
      </c>
      <c r="M12" s="7" t="s">
        <v>219</v>
      </c>
      <c r="N12" s="7" t="s">
        <v>116</v>
      </c>
      <c r="O12" s="7" t="s">
        <v>220</v>
      </c>
      <c r="P12" s="7" t="s">
        <v>221</v>
      </c>
      <c r="Q12" s="7" t="s">
        <v>222</v>
      </c>
      <c r="R12" s="7" t="s">
        <v>223</v>
      </c>
      <c r="S12" s="7" t="s">
        <v>99</v>
      </c>
      <c r="T12" s="7" t="s">
        <v>139</v>
      </c>
      <c r="U12" s="7" t="s">
        <v>75</v>
      </c>
      <c r="V12" s="7" t="s">
        <v>224</v>
      </c>
      <c r="W12" s="7" t="s">
        <v>77</v>
      </c>
      <c r="X12" s="7" t="s">
        <v>102</v>
      </c>
      <c r="Y12" s="7" t="s">
        <v>225</v>
      </c>
      <c r="Z12" s="7" t="s">
        <v>77</v>
      </c>
      <c r="AA12" s="7" t="s">
        <v>80</v>
      </c>
      <c r="AB12" s="7" t="s">
        <v>105</v>
      </c>
      <c r="AC12" s="7" t="s">
        <v>82</v>
      </c>
      <c r="AD12" s="7" t="s">
        <v>226</v>
      </c>
    </row>
    <row r="13" spans="1:30" ht="98" x14ac:dyDescent="0.2">
      <c r="A13" s="7" t="s">
        <v>227</v>
      </c>
      <c r="B13" s="7" t="s">
        <v>228</v>
      </c>
      <c r="C13" s="7" t="s">
        <v>146</v>
      </c>
      <c r="D13" s="7" t="s">
        <v>229</v>
      </c>
      <c r="E13" s="7" t="s">
        <v>230</v>
      </c>
      <c r="F13" s="7" t="s">
        <v>231</v>
      </c>
      <c r="G13" s="7" t="s">
        <v>61</v>
      </c>
      <c r="H13" s="7" t="s">
        <v>232</v>
      </c>
      <c r="I13" s="7" t="s">
        <v>233</v>
      </c>
      <c r="J13" s="7" t="s">
        <v>234</v>
      </c>
      <c r="K13" s="7" t="s">
        <v>92</v>
      </c>
      <c r="L13" s="7" t="s">
        <v>66</v>
      </c>
      <c r="M13" s="7" t="s">
        <v>235</v>
      </c>
      <c r="N13" s="7" t="s">
        <v>116</v>
      </c>
      <c r="O13" s="7" t="s">
        <v>236</v>
      </c>
      <c r="P13" s="7" t="s">
        <v>237</v>
      </c>
      <c r="Q13" s="7" t="s">
        <v>238</v>
      </c>
      <c r="R13" s="7" t="s">
        <v>239</v>
      </c>
      <c r="S13" s="7" t="s">
        <v>99</v>
      </c>
      <c r="T13" s="7" t="s">
        <v>74</v>
      </c>
      <c r="U13" s="7" t="s">
        <v>240</v>
      </c>
      <c r="V13" s="7" t="s">
        <v>241</v>
      </c>
      <c r="W13" s="7" t="s">
        <v>80</v>
      </c>
      <c r="X13" s="7" t="s">
        <v>102</v>
      </c>
      <c r="Y13" s="7" t="s">
        <v>242</v>
      </c>
      <c r="Z13" s="7" t="s">
        <v>77</v>
      </c>
      <c r="AA13" s="7" t="s">
        <v>80</v>
      </c>
      <c r="AB13" s="7" t="s">
        <v>105</v>
      </c>
      <c r="AC13" s="7" t="s">
        <v>82</v>
      </c>
      <c r="AD13" s="7" t="s">
        <v>243</v>
      </c>
    </row>
    <row r="14" spans="1:30" ht="70" x14ac:dyDescent="0.2">
      <c r="A14" s="7" t="s">
        <v>244</v>
      </c>
      <c r="B14" s="7" t="s">
        <v>245</v>
      </c>
      <c r="C14" s="7" t="s">
        <v>109</v>
      </c>
      <c r="D14" s="7" t="s">
        <v>246</v>
      </c>
      <c r="E14" s="7" t="s">
        <v>247</v>
      </c>
      <c r="F14" s="7" t="s">
        <v>180</v>
      </c>
      <c r="G14" s="7" t="s">
        <v>130</v>
      </c>
      <c r="H14" s="7" t="s">
        <v>89</v>
      </c>
      <c r="I14" s="7" t="s">
        <v>187</v>
      </c>
      <c r="J14" s="7" t="s">
        <v>187</v>
      </c>
      <c r="K14" s="7" t="s">
        <v>65</v>
      </c>
      <c r="L14" s="7" t="s">
        <v>66</v>
      </c>
      <c r="M14" s="7" t="s">
        <v>248</v>
      </c>
      <c r="N14" s="7" t="s">
        <v>68</v>
      </c>
      <c r="O14" s="7" t="s">
        <v>249</v>
      </c>
      <c r="P14" s="7" t="s">
        <v>250</v>
      </c>
      <c r="Q14" s="7" t="s">
        <v>251</v>
      </c>
      <c r="R14" s="7" t="s">
        <v>252</v>
      </c>
      <c r="S14" s="7" t="s">
        <v>253</v>
      </c>
      <c r="T14" s="7" t="s">
        <v>139</v>
      </c>
      <c r="U14" s="7" t="s">
        <v>254</v>
      </c>
      <c r="V14" s="7" t="s">
        <v>255</v>
      </c>
      <c r="W14" s="7" t="s">
        <v>80</v>
      </c>
      <c r="X14" s="7" t="s">
        <v>102</v>
      </c>
      <c r="Y14" s="7" t="s">
        <v>256</v>
      </c>
      <c r="Z14" s="7" t="s">
        <v>77</v>
      </c>
      <c r="AA14" s="7" t="s">
        <v>80</v>
      </c>
      <c r="AB14" s="7" t="s">
        <v>105</v>
      </c>
      <c r="AC14" s="7" t="s">
        <v>82</v>
      </c>
      <c r="AD14" s="7" t="s">
        <v>257</v>
      </c>
    </row>
    <row r="15" spans="1:30" ht="70" x14ac:dyDescent="0.2">
      <c r="A15" s="7" t="s">
        <v>258</v>
      </c>
      <c r="B15" s="7" t="s">
        <v>259</v>
      </c>
      <c r="C15" s="7" t="s">
        <v>177</v>
      </c>
      <c r="D15" s="7" t="s">
        <v>260</v>
      </c>
      <c r="E15" s="7" t="s">
        <v>261</v>
      </c>
      <c r="F15" s="7" t="s">
        <v>180</v>
      </c>
      <c r="G15" s="7" t="s">
        <v>61</v>
      </c>
      <c r="H15" s="7" t="s">
        <v>262</v>
      </c>
      <c r="I15" s="7" t="s">
        <v>63</v>
      </c>
      <c r="J15" s="7" t="s">
        <v>194</v>
      </c>
      <c r="K15" s="7" t="s">
        <v>92</v>
      </c>
      <c r="L15" s="7" t="s">
        <v>66</v>
      </c>
      <c r="M15" s="7" t="s">
        <v>263</v>
      </c>
      <c r="N15" s="7" t="s">
        <v>116</v>
      </c>
      <c r="O15" s="7" t="s">
        <v>264</v>
      </c>
      <c r="P15" s="7" t="s">
        <v>96</v>
      </c>
      <c r="Q15" s="7" t="s">
        <v>265</v>
      </c>
      <c r="R15" s="7" t="s">
        <v>266</v>
      </c>
      <c r="S15" s="7" t="s">
        <v>99</v>
      </c>
      <c r="T15" s="7" t="s">
        <v>80</v>
      </c>
      <c r="U15" s="7" t="s">
        <v>267</v>
      </c>
      <c r="V15" s="7" t="s">
        <v>268</v>
      </c>
      <c r="W15" s="7" t="s">
        <v>80</v>
      </c>
      <c r="X15" s="7" t="s">
        <v>102</v>
      </c>
      <c r="Y15" s="7" t="s">
        <v>269</v>
      </c>
      <c r="Z15" s="7" t="s">
        <v>77</v>
      </c>
      <c r="AA15" s="7" t="s">
        <v>80</v>
      </c>
      <c r="AB15" s="7" t="s">
        <v>105</v>
      </c>
      <c r="AC15" s="7" t="s">
        <v>82</v>
      </c>
      <c r="AD15" s="7" t="s">
        <v>270</v>
      </c>
    </row>
    <row r="16" spans="1:30" ht="98" x14ac:dyDescent="0.2">
      <c r="A16" s="7" t="s">
        <v>271</v>
      </c>
      <c r="B16" s="7" t="s">
        <v>272</v>
      </c>
      <c r="C16" s="7" t="s">
        <v>57</v>
      </c>
      <c r="D16" s="7" t="s">
        <v>273</v>
      </c>
      <c r="E16" s="7" t="s">
        <v>274</v>
      </c>
      <c r="F16" s="7" t="s">
        <v>180</v>
      </c>
      <c r="G16" s="7" t="s">
        <v>61</v>
      </c>
      <c r="H16" s="7" t="s">
        <v>275</v>
      </c>
      <c r="I16" s="7" t="s">
        <v>276</v>
      </c>
      <c r="J16" s="7" t="s">
        <v>277</v>
      </c>
      <c r="K16" s="7" t="s">
        <v>92</v>
      </c>
      <c r="L16" s="7" t="s">
        <v>66</v>
      </c>
      <c r="M16" s="7" t="s">
        <v>278</v>
      </c>
      <c r="N16" s="7" t="s">
        <v>116</v>
      </c>
      <c r="O16" s="7" t="s">
        <v>279</v>
      </c>
      <c r="P16" s="7" t="s">
        <v>280</v>
      </c>
      <c r="Q16" s="7" t="s">
        <v>281</v>
      </c>
      <c r="R16" s="7" t="s">
        <v>282</v>
      </c>
      <c r="S16" s="7" t="s">
        <v>73</v>
      </c>
      <c r="T16" s="7" t="s">
        <v>139</v>
      </c>
      <c r="U16" s="7" t="s">
        <v>283</v>
      </c>
      <c r="V16" s="7" t="s">
        <v>284</v>
      </c>
      <c r="W16" s="7" t="s">
        <v>77</v>
      </c>
      <c r="X16" s="7" t="s">
        <v>78</v>
      </c>
      <c r="Y16" s="7" t="s">
        <v>285</v>
      </c>
      <c r="Z16" s="7" t="s">
        <v>77</v>
      </c>
      <c r="AA16" s="7" t="s">
        <v>80</v>
      </c>
      <c r="AB16" s="7" t="s">
        <v>105</v>
      </c>
      <c r="AC16" s="7" t="s">
        <v>82</v>
      </c>
      <c r="AD16" s="7" t="s">
        <v>286</v>
      </c>
    </row>
    <row r="17" spans="1:30" ht="112" x14ac:dyDescent="0.2">
      <c r="A17" s="7" t="s">
        <v>287</v>
      </c>
      <c r="B17" s="7" t="s">
        <v>288</v>
      </c>
      <c r="C17" s="7" t="s">
        <v>109</v>
      </c>
      <c r="D17" s="7" t="s">
        <v>289</v>
      </c>
      <c r="E17" s="7" t="s">
        <v>290</v>
      </c>
      <c r="F17" s="7" t="s">
        <v>291</v>
      </c>
      <c r="G17" s="7" t="s">
        <v>61</v>
      </c>
      <c r="H17" s="7" t="s">
        <v>292</v>
      </c>
      <c r="I17" s="7" t="s">
        <v>293</v>
      </c>
      <c r="J17" s="7" t="s">
        <v>294</v>
      </c>
      <c r="K17" s="7" t="s">
        <v>92</v>
      </c>
      <c r="L17" s="7" t="s">
        <v>66</v>
      </c>
      <c r="M17" s="7" t="s">
        <v>295</v>
      </c>
      <c r="N17" s="7" t="s">
        <v>94</v>
      </c>
      <c r="O17" s="7" t="s">
        <v>296</v>
      </c>
      <c r="P17" s="7" t="s">
        <v>237</v>
      </c>
      <c r="Q17" s="7" t="s">
        <v>297</v>
      </c>
      <c r="R17" s="7" t="s">
        <v>298</v>
      </c>
      <c r="S17" s="7" t="s">
        <v>99</v>
      </c>
      <c r="T17" s="7" t="s">
        <v>74</v>
      </c>
      <c r="U17" s="7" t="s">
        <v>299</v>
      </c>
      <c r="V17" s="7" t="s">
        <v>300</v>
      </c>
      <c r="W17" s="7" t="s">
        <v>80</v>
      </c>
      <c r="X17" s="7" t="s">
        <v>102</v>
      </c>
      <c r="Y17" s="7" t="s">
        <v>301</v>
      </c>
      <c r="Z17" s="7" t="s">
        <v>77</v>
      </c>
      <c r="AA17" s="7" t="s">
        <v>80</v>
      </c>
      <c r="AB17" s="7" t="s">
        <v>105</v>
      </c>
      <c r="AC17" s="7" t="s">
        <v>82</v>
      </c>
      <c r="AD17" s="7" t="s">
        <v>302</v>
      </c>
    </row>
    <row r="18" spans="1:30" ht="98" x14ac:dyDescent="0.2">
      <c r="A18" s="7" t="s">
        <v>303</v>
      </c>
      <c r="B18" s="7" t="s">
        <v>304</v>
      </c>
      <c r="C18" s="7" t="s">
        <v>57</v>
      </c>
      <c r="D18" s="7" t="s">
        <v>305</v>
      </c>
      <c r="E18" s="7" t="s">
        <v>306</v>
      </c>
      <c r="F18" s="7" t="s">
        <v>215</v>
      </c>
      <c r="G18" s="7" t="s">
        <v>61</v>
      </c>
      <c r="H18" s="7" t="s">
        <v>307</v>
      </c>
      <c r="I18" s="7" t="s">
        <v>308</v>
      </c>
      <c r="J18" s="7" t="s">
        <v>309</v>
      </c>
      <c r="K18" s="7" t="s">
        <v>92</v>
      </c>
      <c r="L18" s="7" t="s">
        <v>116</v>
      </c>
      <c r="M18" s="7" t="s">
        <v>310</v>
      </c>
      <c r="N18" s="7" t="s">
        <v>116</v>
      </c>
      <c r="O18" s="7" t="s">
        <v>311</v>
      </c>
      <c r="P18" s="7" t="s">
        <v>237</v>
      </c>
      <c r="Q18" s="7" t="s">
        <v>312</v>
      </c>
      <c r="R18" s="7" t="s">
        <v>313</v>
      </c>
      <c r="S18" s="7" t="s">
        <v>99</v>
      </c>
      <c r="T18" s="7" t="s">
        <v>74</v>
      </c>
      <c r="U18" s="7" t="s">
        <v>314</v>
      </c>
      <c r="V18" s="7" t="s">
        <v>315</v>
      </c>
      <c r="W18" s="7" t="s">
        <v>77</v>
      </c>
      <c r="X18" s="7" t="s">
        <v>102</v>
      </c>
      <c r="Y18" s="7" t="s">
        <v>316</v>
      </c>
      <c r="Z18" s="7" t="s">
        <v>80</v>
      </c>
      <c r="AA18" s="7" t="s">
        <v>80</v>
      </c>
      <c r="AB18" s="7" t="s">
        <v>105</v>
      </c>
      <c r="AC18" s="7" t="s">
        <v>82</v>
      </c>
      <c r="AD18" s="7" t="s">
        <v>317</v>
      </c>
    </row>
    <row r="19" spans="1:30" ht="84" x14ac:dyDescent="0.2">
      <c r="A19" s="7" t="s">
        <v>318</v>
      </c>
      <c r="B19" s="7" t="s">
        <v>319</v>
      </c>
      <c r="C19" s="7" t="s">
        <v>57</v>
      </c>
      <c r="D19" s="7" t="s">
        <v>320</v>
      </c>
      <c r="E19" s="7" t="s">
        <v>321</v>
      </c>
      <c r="F19" s="7" t="s">
        <v>322</v>
      </c>
      <c r="G19" s="7" t="s">
        <v>61</v>
      </c>
      <c r="H19" s="7" t="s">
        <v>323</v>
      </c>
      <c r="I19" s="7" t="s">
        <v>324</v>
      </c>
      <c r="J19" s="7" t="s">
        <v>325</v>
      </c>
      <c r="K19" s="7" t="s">
        <v>65</v>
      </c>
      <c r="L19" s="7" t="s">
        <v>66</v>
      </c>
      <c r="M19" s="7" t="s">
        <v>326</v>
      </c>
      <c r="N19" s="7" t="s">
        <v>68</v>
      </c>
      <c r="O19" s="7" t="s">
        <v>327</v>
      </c>
      <c r="P19" s="7" t="s">
        <v>328</v>
      </c>
      <c r="Q19" s="7" t="s">
        <v>329</v>
      </c>
      <c r="R19" s="7" t="s">
        <v>330</v>
      </c>
      <c r="S19" s="7" t="s">
        <v>99</v>
      </c>
      <c r="T19" s="7" t="s">
        <v>139</v>
      </c>
      <c r="U19" s="7" t="s">
        <v>331</v>
      </c>
      <c r="V19" s="7" t="s">
        <v>332</v>
      </c>
      <c r="W19" s="7" t="s">
        <v>80</v>
      </c>
      <c r="X19" s="7" t="s">
        <v>102</v>
      </c>
      <c r="Y19" s="7" t="s">
        <v>333</v>
      </c>
      <c r="Z19" s="7" t="s">
        <v>77</v>
      </c>
      <c r="AA19" s="7" t="s">
        <v>80</v>
      </c>
      <c r="AB19" s="7" t="s">
        <v>105</v>
      </c>
      <c r="AC19" s="7" t="s">
        <v>82</v>
      </c>
      <c r="AD19" s="7" t="s">
        <v>334</v>
      </c>
    </row>
    <row r="20" spans="1:30" ht="112" x14ac:dyDescent="0.2">
      <c r="A20" s="7" t="s">
        <v>335</v>
      </c>
      <c r="B20" s="7" t="s">
        <v>336</v>
      </c>
      <c r="C20" s="7" t="s">
        <v>86</v>
      </c>
      <c r="D20" s="7" t="s">
        <v>337</v>
      </c>
      <c r="E20" s="7" t="s">
        <v>338</v>
      </c>
      <c r="F20" s="7" t="s">
        <v>215</v>
      </c>
      <c r="G20" s="7" t="s">
        <v>130</v>
      </c>
      <c r="H20" s="7" t="s">
        <v>339</v>
      </c>
      <c r="I20" s="7" t="s">
        <v>340</v>
      </c>
      <c r="J20" s="7" t="s">
        <v>341</v>
      </c>
      <c r="K20" s="7" t="s">
        <v>342</v>
      </c>
      <c r="L20" s="7" t="s">
        <v>116</v>
      </c>
      <c r="M20" s="7" t="s">
        <v>343</v>
      </c>
      <c r="N20" s="7" t="s">
        <v>116</v>
      </c>
      <c r="O20" s="7" t="s">
        <v>344</v>
      </c>
      <c r="P20" s="7" t="s">
        <v>345</v>
      </c>
      <c r="Q20" s="7" t="s">
        <v>346</v>
      </c>
      <c r="R20" s="7" t="s">
        <v>347</v>
      </c>
      <c r="S20" s="7" t="s">
        <v>348</v>
      </c>
      <c r="T20" s="7" t="s">
        <v>187</v>
      </c>
      <c r="U20" s="7" t="s">
        <v>349</v>
      </c>
      <c r="V20" s="7" t="s">
        <v>350</v>
      </c>
      <c r="W20" s="7" t="s">
        <v>80</v>
      </c>
      <c r="X20" s="7" t="s">
        <v>102</v>
      </c>
      <c r="Y20" s="7" t="s">
        <v>351</v>
      </c>
      <c r="Z20" s="7" t="s">
        <v>77</v>
      </c>
      <c r="AA20" s="7" t="s">
        <v>80</v>
      </c>
      <c r="AB20" s="7" t="s">
        <v>105</v>
      </c>
      <c r="AC20" s="7" t="s">
        <v>82</v>
      </c>
      <c r="AD20" s="7" t="s">
        <v>352</v>
      </c>
    </row>
    <row r="21" spans="1:30" ht="126" x14ac:dyDescent="0.2">
      <c r="A21" s="7" t="s">
        <v>353</v>
      </c>
      <c r="B21" s="7" t="s">
        <v>354</v>
      </c>
      <c r="C21" s="7" t="s">
        <v>109</v>
      </c>
      <c r="D21" s="7" t="s">
        <v>355</v>
      </c>
      <c r="E21" s="7" t="s">
        <v>356</v>
      </c>
      <c r="F21" s="7" t="s">
        <v>60</v>
      </c>
      <c r="G21" s="7" t="s">
        <v>357</v>
      </c>
      <c r="H21" s="7" t="s">
        <v>358</v>
      </c>
      <c r="I21" s="7" t="s">
        <v>359</v>
      </c>
      <c r="J21" s="7" t="s">
        <v>360</v>
      </c>
      <c r="K21" s="7" t="s">
        <v>92</v>
      </c>
      <c r="L21" s="7" t="s">
        <v>66</v>
      </c>
      <c r="M21" s="7" t="s">
        <v>361</v>
      </c>
      <c r="N21" s="7" t="s">
        <v>116</v>
      </c>
      <c r="O21" s="7" t="s">
        <v>362</v>
      </c>
      <c r="P21" s="7" t="s">
        <v>363</v>
      </c>
      <c r="Q21" s="7" t="s">
        <v>364</v>
      </c>
      <c r="R21" s="7" t="s">
        <v>365</v>
      </c>
      <c r="S21" s="7" t="s">
        <v>366</v>
      </c>
      <c r="T21" s="7" t="s">
        <v>74</v>
      </c>
      <c r="U21" s="7" t="s">
        <v>367</v>
      </c>
      <c r="V21" s="7" t="s">
        <v>368</v>
      </c>
      <c r="W21" s="7" t="s">
        <v>80</v>
      </c>
      <c r="X21" s="7" t="s">
        <v>369</v>
      </c>
      <c r="Y21" s="7" t="s">
        <v>370</v>
      </c>
      <c r="Z21" s="7" t="s">
        <v>77</v>
      </c>
      <c r="AA21" s="7" t="s">
        <v>80</v>
      </c>
      <c r="AB21" s="7" t="s">
        <v>105</v>
      </c>
      <c r="AC21" s="7" t="s">
        <v>82</v>
      </c>
      <c r="AD21" s="7" t="s">
        <v>371</v>
      </c>
    </row>
    <row r="22" spans="1:30" ht="84" x14ac:dyDescent="0.2">
      <c r="A22" s="7" t="s">
        <v>372</v>
      </c>
      <c r="B22" s="7" t="s">
        <v>373</v>
      </c>
      <c r="C22" s="7" t="s">
        <v>146</v>
      </c>
      <c r="D22" s="7" t="s">
        <v>374</v>
      </c>
      <c r="E22" s="7" t="s">
        <v>375</v>
      </c>
      <c r="F22" s="7" t="s">
        <v>180</v>
      </c>
      <c r="G22" s="7" t="s">
        <v>61</v>
      </c>
      <c r="H22" s="7" t="s">
        <v>89</v>
      </c>
      <c r="I22" s="7" t="s">
        <v>376</v>
      </c>
      <c r="J22" s="7" t="s">
        <v>377</v>
      </c>
      <c r="K22" s="7" t="s">
        <v>65</v>
      </c>
      <c r="L22" s="7" t="s">
        <v>66</v>
      </c>
      <c r="M22" s="7" t="s">
        <v>378</v>
      </c>
      <c r="N22" s="7" t="s">
        <v>68</v>
      </c>
      <c r="O22" s="7" t="s">
        <v>379</v>
      </c>
      <c r="P22" s="7" t="s">
        <v>363</v>
      </c>
      <c r="Q22" s="7" t="s">
        <v>380</v>
      </c>
      <c r="R22" s="7" t="s">
        <v>381</v>
      </c>
      <c r="S22" s="7" t="s">
        <v>73</v>
      </c>
      <c r="T22" s="7" t="s">
        <v>74</v>
      </c>
      <c r="U22" s="7" t="s">
        <v>382</v>
      </c>
      <c r="V22" s="7" t="s">
        <v>383</v>
      </c>
      <c r="W22" s="7" t="s">
        <v>77</v>
      </c>
      <c r="X22" s="7" t="s">
        <v>208</v>
      </c>
      <c r="Y22" s="7" t="s">
        <v>384</v>
      </c>
      <c r="Z22" s="7" t="s">
        <v>77</v>
      </c>
      <c r="AA22" s="7" t="s">
        <v>80</v>
      </c>
      <c r="AB22" s="7" t="s">
        <v>105</v>
      </c>
      <c r="AC22" s="7" t="s">
        <v>82</v>
      </c>
      <c r="AD22" s="7" t="s">
        <v>385</v>
      </c>
    </row>
    <row r="23" spans="1:30" ht="98" x14ac:dyDescent="0.2">
      <c r="A23" s="7" t="s">
        <v>386</v>
      </c>
      <c r="B23" s="7" t="s">
        <v>373</v>
      </c>
      <c r="C23" s="7" t="s">
        <v>146</v>
      </c>
      <c r="D23" s="7" t="s">
        <v>387</v>
      </c>
      <c r="E23" s="7" t="s">
        <v>388</v>
      </c>
      <c r="F23" s="7" t="s">
        <v>180</v>
      </c>
      <c r="G23" s="7" t="s">
        <v>61</v>
      </c>
      <c r="H23" s="7" t="s">
        <v>89</v>
      </c>
      <c r="I23" s="7" t="s">
        <v>389</v>
      </c>
      <c r="J23" s="7" t="s">
        <v>390</v>
      </c>
      <c r="K23" s="7" t="s">
        <v>92</v>
      </c>
      <c r="L23" s="7" t="s">
        <v>66</v>
      </c>
      <c r="M23" s="7" t="s">
        <v>391</v>
      </c>
      <c r="N23" s="7" t="s">
        <v>68</v>
      </c>
      <c r="O23" s="7" t="s">
        <v>392</v>
      </c>
      <c r="P23" s="7" t="s">
        <v>363</v>
      </c>
      <c r="Q23" s="7" t="s">
        <v>393</v>
      </c>
      <c r="R23" s="7" t="s">
        <v>394</v>
      </c>
      <c r="S23" s="7" t="s">
        <v>395</v>
      </c>
      <c r="T23" s="7" t="s">
        <v>74</v>
      </c>
      <c r="U23" s="7" t="s">
        <v>396</v>
      </c>
      <c r="V23" s="7" t="s">
        <v>397</v>
      </c>
      <c r="W23" s="7" t="s">
        <v>77</v>
      </c>
      <c r="X23" s="7" t="s">
        <v>102</v>
      </c>
      <c r="Y23" s="7" t="s">
        <v>398</v>
      </c>
      <c r="Z23" s="7" t="s">
        <v>80</v>
      </c>
      <c r="AA23" s="7" t="s">
        <v>80</v>
      </c>
      <c r="AB23" s="7" t="s">
        <v>105</v>
      </c>
      <c r="AC23" s="7" t="s">
        <v>82</v>
      </c>
      <c r="AD23" s="7" t="s">
        <v>399</v>
      </c>
    </row>
    <row r="24" spans="1:30" ht="84" x14ac:dyDescent="0.2">
      <c r="A24" s="7" t="s">
        <v>400</v>
      </c>
      <c r="B24" s="7" t="s">
        <v>373</v>
      </c>
      <c r="C24" s="7" t="s">
        <v>146</v>
      </c>
      <c r="D24" s="7" t="s">
        <v>401</v>
      </c>
      <c r="E24" s="7" t="s">
        <v>402</v>
      </c>
      <c r="F24" s="7" t="s">
        <v>180</v>
      </c>
      <c r="G24" s="7" t="s">
        <v>61</v>
      </c>
      <c r="H24" s="7" t="s">
        <v>89</v>
      </c>
      <c r="I24" s="7" t="s">
        <v>403</v>
      </c>
      <c r="J24" s="7" t="s">
        <v>404</v>
      </c>
      <c r="K24" s="7" t="s">
        <v>65</v>
      </c>
      <c r="L24" s="7" t="s">
        <v>66</v>
      </c>
      <c r="M24" s="7" t="s">
        <v>405</v>
      </c>
      <c r="N24" s="7" t="s">
        <v>68</v>
      </c>
      <c r="O24" s="7" t="s">
        <v>406</v>
      </c>
      <c r="P24" s="7" t="s">
        <v>363</v>
      </c>
      <c r="Q24" s="7" t="s">
        <v>407</v>
      </c>
      <c r="R24" s="7" t="s">
        <v>408</v>
      </c>
      <c r="S24" s="7" t="s">
        <v>409</v>
      </c>
      <c r="T24" s="7" t="s">
        <v>139</v>
      </c>
      <c r="U24" s="7" t="s">
        <v>410</v>
      </c>
      <c r="V24" s="7" t="s">
        <v>411</v>
      </c>
      <c r="W24" s="7" t="s">
        <v>80</v>
      </c>
      <c r="X24" s="7" t="s">
        <v>369</v>
      </c>
      <c r="Y24" s="7" t="s">
        <v>412</v>
      </c>
      <c r="Z24" s="7" t="s">
        <v>77</v>
      </c>
      <c r="AA24" s="7" t="s">
        <v>80</v>
      </c>
      <c r="AB24" s="7" t="s">
        <v>105</v>
      </c>
      <c r="AC24" s="7" t="s">
        <v>82</v>
      </c>
      <c r="AD24" s="7" t="s">
        <v>413</v>
      </c>
    </row>
    <row r="25" spans="1:30" ht="112" x14ac:dyDescent="0.2">
      <c r="A25" s="7" t="s">
        <v>414</v>
      </c>
      <c r="B25" s="7" t="s">
        <v>415</v>
      </c>
      <c r="C25" s="7" t="s">
        <v>57</v>
      </c>
      <c r="D25" s="7" t="s">
        <v>416</v>
      </c>
      <c r="E25" s="7" t="s">
        <v>417</v>
      </c>
      <c r="F25" s="7" t="s">
        <v>291</v>
      </c>
      <c r="G25" s="7" t="s">
        <v>61</v>
      </c>
      <c r="H25" s="7" t="s">
        <v>89</v>
      </c>
      <c r="I25" s="7" t="s">
        <v>418</v>
      </c>
      <c r="J25" s="7" t="s">
        <v>419</v>
      </c>
      <c r="K25" s="7" t="s">
        <v>92</v>
      </c>
      <c r="L25" s="7" t="s">
        <v>116</v>
      </c>
      <c r="M25" s="7" t="s">
        <v>420</v>
      </c>
      <c r="N25" s="7" t="s">
        <v>94</v>
      </c>
      <c r="O25" s="7" t="s">
        <v>421</v>
      </c>
      <c r="P25" s="7" t="s">
        <v>96</v>
      </c>
      <c r="Q25" s="7" t="s">
        <v>422</v>
      </c>
      <c r="R25" s="7" t="s">
        <v>423</v>
      </c>
      <c r="S25" s="7" t="s">
        <v>424</v>
      </c>
      <c r="T25" s="7" t="s">
        <v>139</v>
      </c>
      <c r="U25" s="7" t="s">
        <v>425</v>
      </c>
      <c r="V25" s="7" t="s">
        <v>426</v>
      </c>
      <c r="W25" s="7" t="s">
        <v>80</v>
      </c>
      <c r="X25" s="7" t="s">
        <v>102</v>
      </c>
      <c r="Y25" s="7" t="s">
        <v>427</v>
      </c>
      <c r="Z25" s="7" t="s">
        <v>80</v>
      </c>
      <c r="AA25" s="7" t="s">
        <v>80</v>
      </c>
      <c r="AB25" s="7" t="s">
        <v>105</v>
      </c>
      <c r="AC25" s="7" t="s">
        <v>82</v>
      </c>
      <c r="AD25" s="7" t="s">
        <v>428</v>
      </c>
    </row>
    <row r="26" spans="1:30" ht="154" x14ac:dyDescent="0.2">
      <c r="A26" s="7" t="s">
        <v>429</v>
      </c>
      <c r="B26" s="7" t="s">
        <v>415</v>
      </c>
      <c r="C26" s="7" t="s">
        <v>194</v>
      </c>
      <c r="D26" s="7" t="s">
        <v>430</v>
      </c>
      <c r="E26" s="7" t="s">
        <v>431</v>
      </c>
      <c r="F26" s="7" t="s">
        <v>180</v>
      </c>
      <c r="G26" s="7" t="s">
        <v>61</v>
      </c>
      <c r="H26" s="7" t="s">
        <v>89</v>
      </c>
      <c r="I26" s="7" t="s">
        <v>432</v>
      </c>
      <c r="J26" s="7" t="s">
        <v>234</v>
      </c>
      <c r="K26" s="7" t="s">
        <v>92</v>
      </c>
      <c r="L26" s="7" t="s">
        <v>66</v>
      </c>
      <c r="M26" s="7" t="s">
        <v>433</v>
      </c>
      <c r="N26" s="7" t="s">
        <v>116</v>
      </c>
      <c r="O26" s="7" t="s">
        <v>434</v>
      </c>
      <c r="P26" s="7" t="s">
        <v>96</v>
      </c>
      <c r="Q26" s="7" t="s">
        <v>435</v>
      </c>
      <c r="R26" s="7" t="s">
        <v>436</v>
      </c>
      <c r="S26" s="7" t="s">
        <v>437</v>
      </c>
      <c r="T26" s="7" t="s">
        <v>74</v>
      </c>
      <c r="U26" s="7" t="s">
        <v>438</v>
      </c>
      <c r="V26" s="7" t="s">
        <v>439</v>
      </c>
      <c r="W26" s="7" t="s">
        <v>77</v>
      </c>
      <c r="X26" s="7" t="s">
        <v>78</v>
      </c>
      <c r="Y26" s="7" t="s">
        <v>440</v>
      </c>
      <c r="Z26" s="7" t="s">
        <v>77</v>
      </c>
      <c r="AA26" s="7" t="s">
        <v>80</v>
      </c>
      <c r="AB26" s="7" t="s">
        <v>105</v>
      </c>
      <c r="AC26" s="7" t="s">
        <v>82</v>
      </c>
      <c r="AD26" s="7" t="s">
        <v>441</v>
      </c>
    </row>
    <row r="27" spans="1:30" ht="98" x14ac:dyDescent="0.2">
      <c r="A27" s="7" t="s">
        <v>442</v>
      </c>
      <c r="B27" s="7" t="s">
        <v>443</v>
      </c>
      <c r="C27" s="7" t="s">
        <v>64</v>
      </c>
      <c r="D27" s="7" t="s">
        <v>444</v>
      </c>
      <c r="E27" s="7" t="s">
        <v>445</v>
      </c>
      <c r="F27" s="7" t="s">
        <v>291</v>
      </c>
      <c r="G27" s="7" t="s">
        <v>130</v>
      </c>
      <c r="H27" s="7" t="s">
        <v>89</v>
      </c>
      <c r="I27" s="7" t="s">
        <v>446</v>
      </c>
      <c r="J27" s="7" t="s">
        <v>447</v>
      </c>
      <c r="K27" s="7" t="s">
        <v>92</v>
      </c>
      <c r="L27" s="7" t="s">
        <v>66</v>
      </c>
      <c r="M27" s="7" t="s">
        <v>448</v>
      </c>
      <c r="N27" s="7" t="s">
        <v>68</v>
      </c>
      <c r="O27" s="7" t="s">
        <v>449</v>
      </c>
      <c r="P27" s="7" t="s">
        <v>96</v>
      </c>
      <c r="Q27" s="7" t="s">
        <v>450</v>
      </c>
      <c r="R27" s="7" t="s">
        <v>451</v>
      </c>
      <c r="S27" s="7" t="s">
        <v>452</v>
      </c>
      <c r="T27" s="7" t="s">
        <v>187</v>
      </c>
      <c r="U27" s="7" t="s">
        <v>75</v>
      </c>
      <c r="V27" s="7" t="s">
        <v>453</v>
      </c>
      <c r="W27" s="7" t="s">
        <v>80</v>
      </c>
      <c r="X27" s="7" t="s">
        <v>369</v>
      </c>
      <c r="Y27" s="7" t="s">
        <v>454</v>
      </c>
      <c r="Z27" s="7" t="s">
        <v>77</v>
      </c>
      <c r="AA27" s="7" t="s">
        <v>80</v>
      </c>
      <c r="AB27" s="7" t="s">
        <v>105</v>
      </c>
      <c r="AC27" s="7" t="s">
        <v>82</v>
      </c>
      <c r="AD27" s="7" t="s">
        <v>455</v>
      </c>
    </row>
    <row r="28" spans="1:30" ht="98" x14ac:dyDescent="0.2">
      <c r="A28" s="7" t="s">
        <v>456</v>
      </c>
      <c r="B28" s="7" t="s">
        <v>457</v>
      </c>
      <c r="C28" s="7" t="s">
        <v>109</v>
      </c>
      <c r="D28" s="7" t="s">
        <v>458</v>
      </c>
      <c r="E28" s="7" t="s">
        <v>459</v>
      </c>
      <c r="F28" s="7" t="s">
        <v>180</v>
      </c>
      <c r="G28" s="7" t="s">
        <v>130</v>
      </c>
      <c r="H28" s="7" t="s">
        <v>89</v>
      </c>
      <c r="I28" s="7" t="s">
        <v>460</v>
      </c>
      <c r="J28" s="7" t="s">
        <v>461</v>
      </c>
      <c r="K28" s="7" t="s">
        <v>342</v>
      </c>
      <c r="L28" s="7" t="s">
        <v>66</v>
      </c>
      <c r="M28" s="7" t="s">
        <v>462</v>
      </c>
      <c r="N28" s="7" t="s">
        <v>94</v>
      </c>
      <c r="O28" s="7" t="s">
        <v>463</v>
      </c>
      <c r="P28" s="7" t="s">
        <v>464</v>
      </c>
      <c r="Q28" s="7" t="s">
        <v>465</v>
      </c>
      <c r="R28" s="7" t="s">
        <v>466</v>
      </c>
      <c r="S28" s="7" t="s">
        <v>467</v>
      </c>
      <c r="T28" s="7" t="s">
        <v>74</v>
      </c>
      <c r="U28" s="7" t="s">
        <v>468</v>
      </c>
      <c r="V28" s="7" t="s">
        <v>469</v>
      </c>
      <c r="W28" s="7" t="s">
        <v>77</v>
      </c>
      <c r="X28" s="7" t="s">
        <v>102</v>
      </c>
      <c r="Y28" s="7" t="s">
        <v>470</v>
      </c>
      <c r="Z28" s="7" t="s">
        <v>80</v>
      </c>
      <c r="AA28" s="7" t="s">
        <v>80</v>
      </c>
      <c r="AB28" s="7" t="s">
        <v>105</v>
      </c>
      <c r="AC28" s="7" t="s">
        <v>82</v>
      </c>
      <c r="AD28" s="7" t="s">
        <v>471</v>
      </c>
    </row>
    <row r="29" spans="1:30" ht="112" x14ac:dyDescent="0.2">
      <c r="A29" s="7" t="s">
        <v>472</v>
      </c>
      <c r="B29" s="7" t="s">
        <v>473</v>
      </c>
      <c r="C29" s="7" t="s">
        <v>162</v>
      </c>
      <c r="D29" s="7" t="s">
        <v>474</v>
      </c>
      <c r="E29" s="7" t="s">
        <v>475</v>
      </c>
      <c r="F29" s="7" t="s">
        <v>476</v>
      </c>
      <c r="G29" s="7" t="s">
        <v>61</v>
      </c>
      <c r="H29" s="7" t="s">
        <v>89</v>
      </c>
      <c r="I29" s="7" t="s">
        <v>477</v>
      </c>
      <c r="J29" s="7" t="s">
        <v>57</v>
      </c>
      <c r="K29" s="7" t="s">
        <v>92</v>
      </c>
      <c r="L29" s="7" t="s">
        <v>116</v>
      </c>
      <c r="M29" s="7" t="s">
        <v>478</v>
      </c>
      <c r="N29" s="7" t="s">
        <v>68</v>
      </c>
      <c r="O29" s="7" t="s">
        <v>479</v>
      </c>
      <c r="P29" s="7" t="s">
        <v>96</v>
      </c>
      <c r="Q29" s="7" t="s">
        <v>480</v>
      </c>
      <c r="R29" s="7" t="s">
        <v>481</v>
      </c>
      <c r="S29" s="7" t="s">
        <v>99</v>
      </c>
      <c r="T29" s="7" t="s">
        <v>74</v>
      </c>
      <c r="U29" s="7" t="s">
        <v>482</v>
      </c>
      <c r="V29" s="7" t="s">
        <v>483</v>
      </c>
      <c r="W29" s="7" t="s">
        <v>80</v>
      </c>
      <c r="X29" s="7" t="s">
        <v>208</v>
      </c>
      <c r="Y29" s="7" t="s">
        <v>484</v>
      </c>
      <c r="Z29" s="7" t="s">
        <v>77</v>
      </c>
      <c r="AA29" s="7" t="s">
        <v>80</v>
      </c>
      <c r="AB29" s="7" t="s">
        <v>105</v>
      </c>
      <c r="AC29" s="7" t="s">
        <v>82</v>
      </c>
      <c r="AD29" s="7" t="s">
        <v>485</v>
      </c>
    </row>
    <row r="30" spans="1:30" ht="126" x14ac:dyDescent="0.2">
      <c r="A30" s="7" t="s">
        <v>486</v>
      </c>
      <c r="B30" s="7" t="s">
        <v>487</v>
      </c>
      <c r="C30" s="7" t="s">
        <v>146</v>
      </c>
      <c r="D30" s="7" t="s">
        <v>488</v>
      </c>
      <c r="E30" s="7" t="s">
        <v>489</v>
      </c>
      <c r="F30" s="7" t="s">
        <v>215</v>
      </c>
      <c r="G30" s="7" t="s">
        <v>61</v>
      </c>
      <c r="H30" s="7" t="s">
        <v>490</v>
      </c>
      <c r="I30" s="7" t="s">
        <v>491</v>
      </c>
      <c r="J30" s="7" t="s">
        <v>492</v>
      </c>
      <c r="K30" s="7" t="s">
        <v>92</v>
      </c>
      <c r="L30" s="7" t="s">
        <v>66</v>
      </c>
      <c r="M30" s="7" t="s">
        <v>493</v>
      </c>
      <c r="N30" s="7" t="s">
        <v>116</v>
      </c>
      <c r="O30" s="7" t="s">
        <v>494</v>
      </c>
      <c r="P30" s="7" t="s">
        <v>96</v>
      </c>
      <c r="Q30" s="7" t="s">
        <v>495</v>
      </c>
      <c r="R30" s="7" t="s">
        <v>496</v>
      </c>
      <c r="S30" s="7" t="s">
        <v>99</v>
      </c>
      <c r="T30" s="7" t="s">
        <v>74</v>
      </c>
      <c r="U30" s="7" t="s">
        <v>497</v>
      </c>
      <c r="V30" s="7" t="s">
        <v>498</v>
      </c>
      <c r="W30" s="7" t="s">
        <v>77</v>
      </c>
      <c r="X30" s="7" t="s">
        <v>208</v>
      </c>
      <c r="Y30" s="7" t="s">
        <v>499</v>
      </c>
      <c r="Z30" s="7" t="s">
        <v>77</v>
      </c>
      <c r="AA30" s="7" t="s">
        <v>80</v>
      </c>
      <c r="AB30" s="7" t="s">
        <v>105</v>
      </c>
      <c r="AC30" s="7" t="s">
        <v>82</v>
      </c>
      <c r="AD30" s="7" t="s">
        <v>500</v>
      </c>
    </row>
    <row r="31" spans="1:30" ht="112" x14ac:dyDescent="0.2">
      <c r="A31" s="7" t="s">
        <v>501</v>
      </c>
      <c r="B31" s="7" t="s">
        <v>502</v>
      </c>
      <c r="C31" s="7" t="s">
        <v>503</v>
      </c>
      <c r="D31" s="7" t="s">
        <v>504</v>
      </c>
      <c r="E31" s="7" t="s">
        <v>505</v>
      </c>
      <c r="F31" s="7" t="s">
        <v>215</v>
      </c>
      <c r="G31" s="7" t="s">
        <v>61</v>
      </c>
      <c r="H31" s="7" t="s">
        <v>89</v>
      </c>
      <c r="I31" s="7" t="s">
        <v>506</v>
      </c>
      <c r="J31" s="7" t="s">
        <v>507</v>
      </c>
      <c r="K31" s="7" t="s">
        <v>92</v>
      </c>
      <c r="L31" s="7" t="s">
        <v>66</v>
      </c>
      <c r="M31" s="7" t="s">
        <v>508</v>
      </c>
      <c r="N31" s="7" t="s">
        <v>68</v>
      </c>
      <c r="O31" s="7" t="s">
        <v>509</v>
      </c>
      <c r="P31" s="7" t="s">
        <v>96</v>
      </c>
      <c r="Q31" s="7" t="s">
        <v>510</v>
      </c>
      <c r="R31" s="7" t="s">
        <v>511</v>
      </c>
      <c r="S31" s="7" t="s">
        <v>99</v>
      </c>
      <c r="T31" s="7" t="s">
        <v>139</v>
      </c>
      <c r="U31" s="7" t="s">
        <v>512</v>
      </c>
      <c r="V31" s="7" t="s">
        <v>513</v>
      </c>
      <c r="W31" s="7" t="s">
        <v>80</v>
      </c>
      <c r="X31" s="7" t="s">
        <v>208</v>
      </c>
      <c r="Y31" s="7" t="s">
        <v>514</v>
      </c>
      <c r="Z31" s="7" t="s">
        <v>77</v>
      </c>
      <c r="AA31" s="7" t="s">
        <v>80</v>
      </c>
      <c r="AB31" s="7" t="s">
        <v>105</v>
      </c>
      <c r="AC31" s="7" t="s">
        <v>82</v>
      </c>
      <c r="AD31" s="7" t="s">
        <v>515</v>
      </c>
    </row>
    <row r="32" spans="1:30" ht="98" x14ac:dyDescent="0.2">
      <c r="A32" s="7" t="s">
        <v>516</v>
      </c>
      <c r="B32" s="7" t="s">
        <v>517</v>
      </c>
      <c r="C32" s="7" t="s">
        <v>503</v>
      </c>
      <c r="D32" s="7" t="s">
        <v>518</v>
      </c>
      <c r="E32" s="7" t="s">
        <v>519</v>
      </c>
      <c r="F32" s="7" t="s">
        <v>520</v>
      </c>
      <c r="G32" s="7" t="s">
        <v>61</v>
      </c>
      <c r="H32" s="7" t="s">
        <v>521</v>
      </c>
      <c r="I32" s="7" t="s">
        <v>522</v>
      </c>
      <c r="J32" s="7" t="s">
        <v>523</v>
      </c>
      <c r="K32" s="7" t="s">
        <v>342</v>
      </c>
      <c r="L32" s="7" t="s">
        <v>66</v>
      </c>
      <c r="M32" s="7" t="s">
        <v>524</v>
      </c>
      <c r="N32" s="7" t="s">
        <v>68</v>
      </c>
      <c r="O32" s="7" t="s">
        <v>525</v>
      </c>
      <c r="P32" s="7" t="s">
        <v>96</v>
      </c>
      <c r="Q32" s="7" t="s">
        <v>526</v>
      </c>
      <c r="R32" s="7" t="s">
        <v>527</v>
      </c>
      <c r="S32" s="7" t="s">
        <v>99</v>
      </c>
      <c r="T32" s="7" t="s">
        <v>74</v>
      </c>
      <c r="U32" s="7" t="s">
        <v>528</v>
      </c>
      <c r="V32" s="7" t="s">
        <v>529</v>
      </c>
      <c r="W32" s="7" t="s">
        <v>77</v>
      </c>
      <c r="X32" s="7" t="s">
        <v>102</v>
      </c>
      <c r="Y32" s="7" t="s">
        <v>530</v>
      </c>
      <c r="Z32" s="7" t="s">
        <v>80</v>
      </c>
      <c r="AA32" s="7" t="s">
        <v>80</v>
      </c>
      <c r="AB32" s="7" t="s">
        <v>105</v>
      </c>
      <c r="AC32" s="7" t="s">
        <v>82</v>
      </c>
      <c r="AD32" s="7" t="s">
        <v>531</v>
      </c>
    </row>
    <row r="33" spans="1:30" ht="70" x14ac:dyDescent="0.2">
      <c r="A33" s="7" t="s">
        <v>532</v>
      </c>
      <c r="B33" s="7" t="s">
        <v>533</v>
      </c>
      <c r="C33" s="7" t="s">
        <v>534</v>
      </c>
      <c r="D33" s="7" t="s">
        <v>535</v>
      </c>
      <c r="E33" s="7" t="s">
        <v>536</v>
      </c>
      <c r="F33" s="7" t="s">
        <v>180</v>
      </c>
      <c r="G33" s="7" t="s">
        <v>130</v>
      </c>
      <c r="H33" s="7" t="s">
        <v>89</v>
      </c>
      <c r="I33" s="7" t="s">
        <v>537</v>
      </c>
      <c r="J33" s="7" t="s">
        <v>538</v>
      </c>
      <c r="K33" s="7" t="s">
        <v>65</v>
      </c>
      <c r="L33" s="7" t="s">
        <v>66</v>
      </c>
      <c r="M33" s="7" t="s">
        <v>539</v>
      </c>
      <c r="N33" s="7" t="s">
        <v>68</v>
      </c>
      <c r="O33" s="7" t="s">
        <v>540</v>
      </c>
      <c r="P33" s="7" t="s">
        <v>541</v>
      </c>
      <c r="Q33" s="7" t="s">
        <v>542</v>
      </c>
      <c r="R33" s="7" t="s">
        <v>543</v>
      </c>
      <c r="S33" s="7" t="s">
        <v>253</v>
      </c>
      <c r="T33" s="7" t="s">
        <v>74</v>
      </c>
      <c r="U33" s="7" t="s">
        <v>544</v>
      </c>
      <c r="V33" s="7" t="s">
        <v>545</v>
      </c>
      <c r="W33" s="7" t="s">
        <v>77</v>
      </c>
      <c r="X33" s="7" t="s">
        <v>102</v>
      </c>
      <c r="Y33" s="7" t="s">
        <v>546</v>
      </c>
      <c r="Z33" s="7" t="s">
        <v>80</v>
      </c>
      <c r="AA33" s="7" t="s">
        <v>80</v>
      </c>
      <c r="AB33" s="7" t="s">
        <v>105</v>
      </c>
      <c r="AC33" s="7" t="s">
        <v>82</v>
      </c>
      <c r="AD33" s="7" t="s">
        <v>547</v>
      </c>
    </row>
    <row r="34" spans="1:30" ht="126" x14ac:dyDescent="0.2">
      <c r="A34" s="7" t="s">
        <v>548</v>
      </c>
      <c r="B34" s="7" t="s">
        <v>549</v>
      </c>
      <c r="C34" s="7" t="s">
        <v>162</v>
      </c>
      <c r="D34" s="7" t="s">
        <v>550</v>
      </c>
      <c r="E34" s="7" t="s">
        <v>551</v>
      </c>
      <c r="F34" s="7" t="s">
        <v>552</v>
      </c>
      <c r="G34" s="7" t="s">
        <v>61</v>
      </c>
      <c r="H34" s="7" t="s">
        <v>553</v>
      </c>
      <c r="I34" s="7" t="s">
        <v>113</v>
      </c>
      <c r="J34" s="7" t="s">
        <v>554</v>
      </c>
      <c r="K34" s="7" t="s">
        <v>555</v>
      </c>
      <c r="L34" s="7" t="s">
        <v>66</v>
      </c>
      <c r="M34" s="7" t="s">
        <v>556</v>
      </c>
      <c r="N34" s="7" t="s">
        <v>94</v>
      </c>
      <c r="O34" s="7" t="s">
        <v>557</v>
      </c>
      <c r="P34" s="7" t="s">
        <v>96</v>
      </c>
      <c r="Q34" s="7" t="s">
        <v>346</v>
      </c>
      <c r="R34" s="7" t="s">
        <v>558</v>
      </c>
      <c r="S34" s="7" t="s">
        <v>73</v>
      </c>
      <c r="T34" s="7" t="s">
        <v>139</v>
      </c>
      <c r="U34" s="7" t="s">
        <v>559</v>
      </c>
      <c r="V34" s="7" t="s">
        <v>560</v>
      </c>
      <c r="W34" s="7" t="s">
        <v>80</v>
      </c>
      <c r="X34" s="7" t="s">
        <v>102</v>
      </c>
      <c r="Y34" s="7" t="s">
        <v>561</v>
      </c>
      <c r="Z34" s="7" t="s">
        <v>80</v>
      </c>
      <c r="AA34" s="7" t="s">
        <v>77</v>
      </c>
      <c r="AB34" s="7" t="s">
        <v>105</v>
      </c>
      <c r="AC34" s="7" t="s">
        <v>82</v>
      </c>
      <c r="AD34" s="7" t="s">
        <v>562</v>
      </c>
    </row>
    <row r="35" spans="1:30" ht="154" x14ac:dyDescent="0.2">
      <c r="A35" s="7" t="s">
        <v>563</v>
      </c>
      <c r="B35" s="7" t="s">
        <v>564</v>
      </c>
      <c r="C35" s="7" t="s">
        <v>177</v>
      </c>
      <c r="D35" s="7" t="s">
        <v>565</v>
      </c>
      <c r="E35" s="7" t="s">
        <v>566</v>
      </c>
      <c r="F35" s="7" t="s">
        <v>476</v>
      </c>
      <c r="G35" s="7" t="s">
        <v>61</v>
      </c>
      <c r="H35" s="7" t="s">
        <v>567</v>
      </c>
      <c r="I35" s="7" t="s">
        <v>568</v>
      </c>
      <c r="J35" s="7" t="s">
        <v>569</v>
      </c>
      <c r="K35" s="7" t="s">
        <v>92</v>
      </c>
      <c r="L35" s="7" t="s">
        <v>66</v>
      </c>
      <c r="M35" s="7" t="s">
        <v>570</v>
      </c>
      <c r="N35" s="7" t="s">
        <v>116</v>
      </c>
      <c r="O35" s="7" t="s">
        <v>571</v>
      </c>
      <c r="P35" s="7" t="s">
        <v>96</v>
      </c>
      <c r="Q35" s="7" t="s">
        <v>572</v>
      </c>
      <c r="R35" s="7" t="s">
        <v>573</v>
      </c>
      <c r="S35" s="7" t="s">
        <v>99</v>
      </c>
      <c r="T35" s="7" t="s">
        <v>139</v>
      </c>
      <c r="U35" s="7" t="s">
        <v>574</v>
      </c>
      <c r="V35" s="7" t="s">
        <v>575</v>
      </c>
      <c r="W35" s="7" t="s">
        <v>77</v>
      </c>
      <c r="X35" s="7" t="s">
        <v>102</v>
      </c>
      <c r="Y35" s="7" t="s">
        <v>576</v>
      </c>
      <c r="Z35" s="7" t="s">
        <v>77</v>
      </c>
      <c r="AA35" s="7" t="s">
        <v>80</v>
      </c>
      <c r="AB35" s="7" t="s">
        <v>105</v>
      </c>
      <c r="AC35" s="7" t="s">
        <v>82</v>
      </c>
      <c r="AD35" s="7" t="s">
        <v>577</v>
      </c>
    </row>
    <row r="36" spans="1:30" ht="182" x14ac:dyDescent="0.2">
      <c r="A36" s="7" t="s">
        <v>578</v>
      </c>
      <c r="B36" s="7" t="s">
        <v>579</v>
      </c>
      <c r="C36" s="7" t="s">
        <v>534</v>
      </c>
      <c r="D36" s="7" t="s">
        <v>580</v>
      </c>
      <c r="E36" s="7" t="s">
        <v>581</v>
      </c>
      <c r="F36" s="7" t="s">
        <v>180</v>
      </c>
      <c r="G36" s="7" t="s">
        <v>61</v>
      </c>
      <c r="H36" s="7" t="s">
        <v>582</v>
      </c>
      <c r="I36" s="7" t="s">
        <v>583</v>
      </c>
      <c r="J36" s="7" t="s">
        <v>114</v>
      </c>
      <c r="K36" s="7" t="s">
        <v>65</v>
      </c>
      <c r="L36" s="7" t="s">
        <v>66</v>
      </c>
      <c r="M36" s="7" t="s">
        <v>584</v>
      </c>
      <c r="N36" s="7" t="s">
        <v>68</v>
      </c>
      <c r="O36" s="7" t="s">
        <v>585</v>
      </c>
      <c r="P36" s="7" t="s">
        <v>96</v>
      </c>
      <c r="Q36" s="7" t="s">
        <v>586</v>
      </c>
      <c r="R36" s="7" t="s">
        <v>587</v>
      </c>
      <c r="S36" s="7" t="s">
        <v>588</v>
      </c>
      <c r="T36" s="7" t="s">
        <v>139</v>
      </c>
      <c r="U36" s="7" t="s">
        <v>589</v>
      </c>
      <c r="V36" s="7" t="s">
        <v>590</v>
      </c>
      <c r="W36" s="7" t="s">
        <v>77</v>
      </c>
      <c r="X36" s="7" t="s">
        <v>78</v>
      </c>
      <c r="Y36" s="7" t="s">
        <v>591</v>
      </c>
      <c r="Z36" s="7" t="s">
        <v>77</v>
      </c>
      <c r="AA36" s="7" t="s">
        <v>80</v>
      </c>
      <c r="AB36" s="7" t="s">
        <v>105</v>
      </c>
      <c r="AC36" s="7" t="s">
        <v>82</v>
      </c>
      <c r="AD36" s="7" t="s">
        <v>592</v>
      </c>
    </row>
    <row r="37" spans="1:30" ht="112" x14ac:dyDescent="0.2">
      <c r="A37" s="7" t="s">
        <v>593</v>
      </c>
      <c r="B37" s="7" t="s">
        <v>594</v>
      </c>
      <c r="C37" s="7" t="s">
        <v>109</v>
      </c>
      <c r="D37" s="7" t="s">
        <v>595</v>
      </c>
      <c r="E37" s="7" t="s">
        <v>596</v>
      </c>
      <c r="F37" s="7" t="s">
        <v>180</v>
      </c>
      <c r="G37" s="7" t="s">
        <v>61</v>
      </c>
      <c r="H37" s="7" t="s">
        <v>275</v>
      </c>
      <c r="I37" s="7" t="s">
        <v>568</v>
      </c>
      <c r="J37" s="7" t="s">
        <v>597</v>
      </c>
      <c r="K37" s="7" t="s">
        <v>92</v>
      </c>
      <c r="L37" s="7" t="s">
        <v>66</v>
      </c>
      <c r="M37" s="7" t="s">
        <v>598</v>
      </c>
      <c r="N37" s="7" t="s">
        <v>68</v>
      </c>
      <c r="O37" s="7" t="s">
        <v>599</v>
      </c>
      <c r="P37" s="7" t="s">
        <v>153</v>
      </c>
      <c r="Q37" s="7" t="s">
        <v>600</v>
      </c>
      <c r="R37" s="7" t="s">
        <v>601</v>
      </c>
      <c r="S37" s="7" t="s">
        <v>602</v>
      </c>
      <c r="T37" s="7" t="s">
        <v>187</v>
      </c>
      <c r="U37" s="7" t="s">
        <v>603</v>
      </c>
      <c r="V37" s="7" t="s">
        <v>604</v>
      </c>
      <c r="W37" s="7" t="s">
        <v>77</v>
      </c>
      <c r="X37" s="7" t="s">
        <v>78</v>
      </c>
      <c r="Y37" s="7" t="s">
        <v>605</v>
      </c>
      <c r="Z37" s="7" t="s">
        <v>77</v>
      </c>
      <c r="AA37" s="7" t="s">
        <v>80</v>
      </c>
      <c r="AB37" s="7" t="s">
        <v>105</v>
      </c>
      <c r="AC37" s="7" t="s">
        <v>82</v>
      </c>
      <c r="AD37" s="7" t="s">
        <v>606</v>
      </c>
    </row>
    <row r="38" spans="1:30" ht="98" x14ac:dyDescent="0.2">
      <c r="A38" s="7" t="s">
        <v>607</v>
      </c>
      <c r="B38" s="7" t="s">
        <v>608</v>
      </c>
      <c r="C38" s="7" t="s">
        <v>177</v>
      </c>
      <c r="D38" s="7" t="s">
        <v>609</v>
      </c>
      <c r="E38" s="7" t="s">
        <v>610</v>
      </c>
      <c r="F38" s="7" t="s">
        <v>60</v>
      </c>
      <c r="G38" s="7" t="s">
        <v>61</v>
      </c>
      <c r="H38" s="7" t="s">
        <v>611</v>
      </c>
      <c r="I38" s="7" t="s">
        <v>150</v>
      </c>
      <c r="J38" s="7" t="s">
        <v>114</v>
      </c>
      <c r="K38" s="7" t="s">
        <v>92</v>
      </c>
      <c r="L38" s="7" t="s">
        <v>66</v>
      </c>
      <c r="M38" s="7" t="s">
        <v>612</v>
      </c>
      <c r="N38" s="7" t="s">
        <v>613</v>
      </c>
      <c r="O38" s="7" t="s">
        <v>614</v>
      </c>
      <c r="P38" s="7" t="s">
        <v>96</v>
      </c>
      <c r="Q38" s="7" t="s">
        <v>615</v>
      </c>
      <c r="R38" s="7" t="s">
        <v>616</v>
      </c>
      <c r="S38" s="7" t="s">
        <v>617</v>
      </c>
      <c r="T38" s="7" t="s">
        <v>74</v>
      </c>
      <c r="U38" s="7" t="s">
        <v>618</v>
      </c>
      <c r="V38" s="7" t="s">
        <v>619</v>
      </c>
      <c r="W38" s="7" t="s">
        <v>80</v>
      </c>
      <c r="X38" s="7" t="s">
        <v>208</v>
      </c>
      <c r="Y38" s="7" t="s">
        <v>620</v>
      </c>
      <c r="Z38" s="7" t="s">
        <v>77</v>
      </c>
      <c r="AA38" s="7" t="s">
        <v>80</v>
      </c>
      <c r="AB38" s="7" t="s">
        <v>105</v>
      </c>
      <c r="AC38" s="7" t="s">
        <v>82</v>
      </c>
      <c r="AD38" s="7" t="s">
        <v>621</v>
      </c>
    </row>
    <row r="39" spans="1:30" ht="84" x14ac:dyDescent="0.2">
      <c r="A39" s="7" t="s">
        <v>622</v>
      </c>
      <c r="B39" s="7" t="s">
        <v>623</v>
      </c>
      <c r="C39" s="7" t="s">
        <v>503</v>
      </c>
      <c r="D39" s="7" t="s">
        <v>624</v>
      </c>
      <c r="E39" s="7" t="s">
        <v>625</v>
      </c>
      <c r="F39" s="7" t="s">
        <v>626</v>
      </c>
      <c r="G39" s="7" t="s">
        <v>61</v>
      </c>
      <c r="H39" s="7" t="s">
        <v>627</v>
      </c>
      <c r="I39" s="7" t="s">
        <v>628</v>
      </c>
      <c r="J39" s="7" t="s">
        <v>629</v>
      </c>
      <c r="K39" s="7" t="s">
        <v>92</v>
      </c>
      <c r="L39" s="7" t="s">
        <v>116</v>
      </c>
      <c r="M39" s="7" t="s">
        <v>630</v>
      </c>
      <c r="N39" s="7" t="s">
        <v>68</v>
      </c>
      <c r="O39" s="7" t="s">
        <v>631</v>
      </c>
      <c r="P39" s="7" t="s">
        <v>96</v>
      </c>
      <c r="Q39" s="7" t="s">
        <v>632</v>
      </c>
      <c r="R39" s="7" t="s">
        <v>633</v>
      </c>
      <c r="S39" s="7" t="s">
        <v>99</v>
      </c>
      <c r="T39" s="7" t="s">
        <v>187</v>
      </c>
      <c r="U39" s="7" t="s">
        <v>634</v>
      </c>
      <c r="V39" s="7" t="s">
        <v>635</v>
      </c>
      <c r="W39" s="7" t="s">
        <v>80</v>
      </c>
      <c r="X39" s="7" t="s">
        <v>102</v>
      </c>
      <c r="Y39" s="7" t="s">
        <v>636</v>
      </c>
      <c r="Z39" s="7" t="s">
        <v>77</v>
      </c>
      <c r="AA39" s="7" t="s">
        <v>80</v>
      </c>
      <c r="AB39" s="7" t="s">
        <v>105</v>
      </c>
      <c r="AC39" s="7" t="s">
        <v>82</v>
      </c>
      <c r="AD39" s="7" t="s">
        <v>637</v>
      </c>
    </row>
    <row r="40" spans="1:30" ht="112" x14ac:dyDescent="0.2">
      <c r="A40" s="7" t="s">
        <v>638</v>
      </c>
      <c r="B40" s="7" t="s">
        <v>639</v>
      </c>
      <c r="C40" s="7" t="s">
        <v>146</v>
      </c>
      <c r="D40" s="7" t="s">
        <v>640</v>
      </c>
      <c r="E40" s="7" t="s">
        <v>641</v>
      </c>
      <c r="F40" s="7" t="s">
        <v>215</v>
      </c>
      <c r="G40" s="7" t="s">
        <v>61</v>
      </c>
      <c r="H40" s="7" t="s">
        <v>642</v>
      </c>
      <c r="I40" s="7" t="s">
        <v>643</v>
      </c>
      <c r="J40" s="7" t="s">
        <v>644</v>
      </c>
      <c r="K40" s="7" t="s">
        <v>92</v>
      </c>
      <c r="L40" s="7" t="s">
        <v>66</v>
      </c>
      <c r="M40" s="7" t="s">
        <v>645</v>
      </c>
      <c r="N40" s="7" t="s">
        <v>187</v>
      </c>
      <c r="O40" s="7" t="s">
        <v>646</v>
      </c>
      <c r="P40" s="7" t="s">
        <v>647</v>
      </c>
      <c r="Q40" s="7" t="s">
        <v>648</v>
      </c>
      <c r="R40" s="7" t="s">
        <v>649</v>
      </c>
      <c r="S40" s="7" t="s">
        <v>99</v>
      </c>
      <c r="T40" s="7" t="s">
        <v>74</v>
      </c>
      <c r="U40" s="7" t="s">
        <v>650</v>
      </c>
      <c r="V40" s="7" t="s">
        <v>651</v>
      </c>
      <c r="W40" s="7" t="s">
        <v>80</v>
      </c>
      <c r="X40" s="7" t="s">
        <v>102</v>
      </c>
      <c r="Y40" s="7" t="s">
        <v>652</v>
      </c>
      <c r="Z40" s="7" t="s">
        <v>77</v>
      </c>
      <c r="AA40" s="7" t="s">
        <v>80</v>
      </c>
      <c r="AB40" s="7" t="s">
        <v>105</v>
      </c>
      <c r="AC40" s="7" t="s">
        <v>82</v>
      </c>
      <c r="AD40" s="7" t="s">
        <v>653</v>
      </c>
    </row>
    <row r="41" spans="1:30" ht="140" x14ac:dyDescent="0.2">
      <c r="A41" s="7" t="s">
        <v>654</v>
      </c>
      <c r="B41" s="7" t="s">
        <v>639</v>
      </c>
      <c r="C41" s="7" t="s">
        <v>146</v>
      </c>
      <c r="D41" s="7" t="s">
        <v>655</v>
      </c>
      <c r="E41" s="7" t="s">
        <v>656</v>
      </c>
      <c r="F41" s="7" t="s">
        <v>215</v>
      </c>
      <c r="G41" s="7" t="s">
        <v>61</v>
      </c>
      <c r="H41" s="7" t="s">
        <v>642</v>
      </c>
      <c r="I41" s="7" t="s">
        <v>657</v>
      </c>
      <c r="J41" s="7" t="s">
        <v>644</v>
      </c>
      <c r="K41" s="7" t="s">
        <v>92</v>
      </c>
      <c r="L41" s="7" t="s">
        <v>66</v>
      </c>
      <c r="M41" s="7" t="s">
        <v>658</v>
      </c>
      <c r="N41" s="7" t="s">
        <v>187</v>
      </c>
      <c r="O41" s="7" t="s">
        <v>659</v>
      </c>
      <c r="P41" s="7" t="s">
        <v>647</v>
      </c>
      <c r="Q41" s="7" t="s">
        <v>660</v>
      </c>
      <c r="R41" s="7" t="s">
        <v>661</v>
      </c>
      <c r="S41" s="7" t="s">
        <v>452</v>
      </c>
      <c r="T41" s="7" t="s">
        <v>139</v>
      </c>
      <c r="U41" s="7" t="s">
        <v>650</v>
      </c>
      <c r="V41" s="7" t="s">
        <v>662</v>
      </c>
      <c r="W41" s="7" t="s">
        <v>80</v>
      </c>
      <c r="X41" s="7" t="s">
        <v>78</v>
      </c>
      <c r="Y41" s="7" t="s">
        <v>663</v>
      </c>
      <c r="Z41" s="7" t="s">
        <v>77</v>
      </c>
      <c r="AA41" s="7" t="s">
        <v>80</v>
      </c>
      <c r="AB41" s="7" t="s">
        <v>105</v>
      </c>
      <c r="AC41" s="7" t="s">
        <v>82</v>
      </c>
      <c r="AD41" s="7" t="s">
        <v>664</v>
      </c>
    </row>
    <row r="42" spans="1:30" ht="112" x14ac:dyDescent="0.2">
      <c r="A42" s="7" t="s">
        <v>665</v>
      </c>
      <c r="B42" s="7" t="s">
        <v>639</v>
      </c>
      <c r="C42" s="7" t="s">
        <v>109</v>
      </c>
      <c r="D42" s="7" t="s">
        <v>666</v>
      </c>
      <c r="E42" s="7" t="s">
        <v>667</v>
      </c>
      <c r="F42" s="7" t="s">
        <v>215</v>
      </c>
      <c r="G42" s="7" t="s">
        <v>61</v>
      </c>
      <c r="H42" s="7" t="s">
        <v>642</v>
      </c>
      <c r="I42" s="7" t="s">
        <v>643</v>
      </c>
      <c r="J42" s="7" t="s">
        <v>644</v>
      </c>
      <c r="K42" s="7" t="s">
        <v>92</v>
      </c>
      <c r="L42" s="7" t="s">
        <v>66</v>
      </c>
      <c r="M42" s="7" t="s">
        <v>668</v>
      </c>
      <c r="N42" s="7" t="s">
        <v>187</v>
      </c>
      <c r="O42" s="7" t="s">
        <v>659</v>
      </c>
      <c r="P42" s="7" t="s">
        <v>647</v>
      </c>
      <c r="Q42" s="7" t="s">
        <v>669</v>
      </c>
      <c r="R42" s="7" t="s">
        <v>670</v>
      </c>
      <c r="S42" s="7" t="s">
        <v>671</v>
      </c>
      <c r="T42" s="7" t="s">
        <v>74</v>
      </c>
      <c r="U42" s="7" t="s">
        <v>650</v>
      </c>
      <c r="V42" s="7" t="s">
        <v>672</v>
      </c>
      <c r="W42" s="7" t="s">
        <v>80</v>
      </c>
      <c r="X42" s="7" t="s">
        <v>78</v>
      </c>
      <c r="Y42" s="7" t="s">
        <v>673</v>
      </c>
      <c r="Z42" s="7" t="s">
        <v>77</v>
      </c>
      <c r="AA42" s="7" t="s">
        <v>80</v>
      </c>
      <c r="AB42" s="7" t="s">
        <v>105</v>
      </c>
      <c r="AC42" s="7" t="s">
        <v>82</v>
      </c>
      <c r="AD42" s="7" t="s">
        <v>674</v>
      </c>
    </row>
    <row r="43" spans="1:30" ht="98" x14ac:dyDescent="0.2">
      <c r="A43" s="7" t="s">
        <v>675</v>
      </c>
      <c r="B43" s="7" t="s">
        <v>676</v>
      </c>
      <c r="C43" s="7" t="s">
        <v>162</v>
      </c>
      <c r="D43" s="7" t="s">
        <v>677</v>
      </c>
      <c r="E43" s="7" t="s">
        <v>678</v>
      </c>
      <c r="F43" s="7" t="s">
        <v>180</v>
      </c>
      <c r="G43" s="7" t="s">
        <v>61</v>
      </c>
      <c r="H43" s="7" t="s">
        <v>679</v>
      </c>
      <c r="I43" s="7" t="s">
        <v>131</v>
      </c>
      <c r="J43" s="7" t="s">
        <v>680</v>
      </c>
      <c r="K43" s="7" t="s">
        <v>92</v>
      </c>
      <c r="L43" s="7" t="s">
        <v>681</v>
      </c>
      <c r="M43" s="7" t="s">
        <v>682</v>
      </c>
      <c r="N43" s="7" t="s">
        <v>683</v>
      </c>
      <c r="O43" s="7" t="s">
        <v>684</v>
      </c>
      <c r="P43" s="7" t="s">
        <v>685</v>
      </c>
      <c r="Q43" s="7" t="s">
        <v>686</v>
      </c>
      <c r="R43" s="7" t="s">
        <v>687</v>
      </c>
      <c r="S43" s="7" t="s">
        <v>73</v>
      </c>
      <c r="T43" s="7" t="s">
        <v>139</v>
      </c>
      <c r="U43" s="7" t="s">
        <v>688</v>
      </c>
      <c r="V43" s="7" t="s">
        <v>689</v>
      </c>
      <c r="W43" s="7" t="s">
        <v>80</v>
      </c>
      <c r="X43" s="7" t="s">
        <v>78</v>
      </c>
      <c r="Y43" s="7" t="s">
        <v>690</v>
      </c>
      <c r="Z43" s="7" t="s">
        <v>77</v>
      </c>
      <c r="AA43" s="7" t="s">
        <v>80</v>
      </c>
      <c r="AB43" s="7" t="s">
        <v>105</v>
      </c>
      <c r="AC43" s="7" t="s">
        <v>82</v>
      </c>
      <c r="AD43" s="7" t="s">
        <v>691</v>
      </c>
    </row>
    <row r="44" spans="1:30" ht="84" x14ac:dyDescent="0.2">
      <c r="A44" s="7" t="s">
        <v>692</v>
      </c>
      <c r="B44" s="7" t="s">
        <v>693</v>
      </c>
      <c r="C44" s="7" t="s">
        <v>57</v>
      </c>
      <c r="D44" s="7" t="s">
        <v>694</v>
      </c>
      <c r="E44" s="7" t="s">
        <v>695</v>
      </c>
      <c r="F44" s="7" t="s">
        <v>215</v>
      </c>
      <c r="G44" s="7" t="s">
        <v>61</v>
      </c>
      <c r="H44" s="7" t="s">
        <v>696</v>
      </c>
      <c r="I44" s="7" t="s">
        <v>697</v>
      </c>
      <c r="J44" s="7" t="s">
        <v>698</v>
      </c>
      <c r="K44" s="7" t="s">
        <v>92</v>
      </c>
      <c r="L44" s="7" t="s">
        <v>66</v>
      </c>
      <c r="M44" s="7" t="s">
        <v>699</v>
      </c>
      <c r="N44" s="7" t="s">
        <v>700</v>
      </c>
      <c r="O44" s="7" t="s">
        <v>701</v>
      </c>
      <c r="P44" s="7" t="s">
        <v>96</v>
      </c>
      <c r="Q44" s="7" t="s">
        <v>702</v>
      </c>
      <c r="R44" s="7" t="s">
        <v>703</v>
      </c>
      <c r="S44" s="7" t="s">
        <v>99</v>
      </c>
      <c r="T44" s="7" t="s">
        <v>139</v>
      </c>
      <c r="U44" s="7" t="s">
        <v>704</v>
      </c>
      <c r="V44" s="7" t="s">
        <v>705</v>
      </c>
      <c r="W44" s="7" t="s">
        <v>77</v>
      </c>
      <c r="X44" s="7" t="s">
        <v>102</v>
      </c>
      <c r="Y44" s="7" t="s">
        <v>706</v>
      </c>
      <c r="Z44" s="7" t="s">
        <v>77</v>
      </c>
      <c r="AA44" s="7" t="s">
        <v>80</v>
      </c>
      <c r="AB44" s="7" t="s">
        <v>105</v>
      </c>
      <c r="AC44" s="7" t="s">
        <v>82</v>
      </c>
      <c r="AD44" s="7" t="s">
        <v>707</v>
      </c>
    </row>
    <row r="45" spans="1:30" ht="196" x14ac:dyDescent="0.2">
      <c r="A45" s="7" t="s">
        <v>708</v>
      </c>
      <c r="B45" s="7" t="s">
        <v>709</v>
      </c>
      <c r="C45" s="7" t="s">
        <v>57</v>
      </c>
      <c r="D45" s="7" t="s">
        <v>710</v>
      </c>
      <c r="E45" s="7" t="s">
        <v>711</v>
      </c>
      <c r="F45" s="7" t="s">
        <v>180</v>
      </c>
      <c r="G45" s="7" t="s">
        <v>61</v>
      </c>
      <c r="H45" s="7" t="s">
        <v>89</v>
      </c>
      <c r="I45" s="7" t="s">
        <v>712</v>
      </c>
      <c r="J45" s="7" t="s">
        <v>277</v>
      </c>
      <c r="K45" s="7" t="s">
        <v>555</v>
      </c>
      <c r="L45" s="7" t="s">
        <v>681</v>
      </c>
      <c r="M45" s="7" t="s">
        <v>713</v>
      </c>
      <c r="N45" s="7" t="s">
        <v>714</v>
      </c>
      <c r="O45" s="7" t="s">
        <v>715</v>
      </c>
      <c r="P45" s="7" t="s">
        <v>153</v>
      </c>
      <c r="Q45" s="7" t="s">
        <v>716</v>
      </c>
      <c r="R45" s="7" t="s">
        <v>717</v>
      </c>
      <c r="S45" s="7" t="s">
        <v>718</v>
      </c>
      <c r="T45" s="7" t="s">
        <v>139</v>
      </c>
      <c r="U45" s="7" t="s">
        <v>719</v>
      </c>
      <c r="V45" s="7" t="s">
        <v>720</v>
      </c>
      <c r="W45" s="7" t="s">
        <v>80</v>
      </c>
      <c r="X45" s="7" t="s">
        <v>208</v>
      </c>
      <c r="Y45" s="7" t="s">
        <v>721</v>
      </c>
      <c r="Z45" s="7" t="s">
        <v>77</v>
      </c>
      <c r="AA45" s="7" t="s">
        <v>80</v>
      </c>
      <c r="AB45" s="7" t="s">
        <v>105</v>
      </c>
      <c r="AC45" s="7" t="s">
        <v>82</v>
      </c>
      <c r="AD45" s="7" t="s">
        <v>722</v>
      </c>
    </row>
    <row r="46" spans="1:30" ht="140" x14ac:dyDescent="0.2">
      <c r="A46" s="7" t="s">
        <v>723</v>
      </c>
      <c r="B46" s="7" t="s">
        <v>709</v>
      </c>
      <c r="C46" s="7" t="s">
        <v>194</v>
      </c>
      <c r="D46" s="7" t="s">
        <v>724</v>
      </c>
      <c r="E46" s="7" t="s">
        <v>725</v>
      </c>
      <c r="F46" s="7" t="s">
        <v>180</v>
      </c>
      <c r="G46" s="7" t="s">
        <v>61</v>
      </c>
      <c r="H46" s="7" t="s">
        <v>726</v>
      </c>
      <c r="I46" s="7" t="s">
        <v>727</v>
      </c>
      <c r="J46" s="7" t="s">
        <v>728</v>
      </c>
      <c r="K46" s="7" t="s">
        <v>65</v>
      </c>
      <c r="L46" s="7" t="s">
        <v>66</v>
      </c>
      <c r="M46" s="7" t="s">
        <v>729</v>
      </c>
      <c r="N46" s="7" t="s">
        <v>68</v>
      </c>
      <c r="O46" s="7" t="s">
        <v>730</v>
      </c>
      <c r="P46" s="7" t="s">
        <v>153</v>
      </c>
      <c r="Q46" s="7" t="s">
        <v>731</v>
      </c>
      <c r="R46" s="7" t="s">
        <v>732</v>
      </c>
      <c r="S46" s="7" t="s">
        <v>733</v>
      </c>
      <c r="T46" s="7" t="s">
        <v>139</v>
      </c>
      <c r="U46" s="7" t="s">
        <v>734</v>
      </c>
      <c r="V46" s="7" t="s">
        <v>735</v>
      </c>
      <c r="W46" s="7" t="s">
        <v>77</v>
      </c>
      <c r="X46" s="7" t="s">
        <v>208</v>
      </c>
      <c r="Y46" s="7" t="s">
        <v>736</v>
      </c>
      <c r="Z46" s="7" t="s">
        <v>77</v>
      </c>
      <c r="AA46" s="7" t="s">
        <v>80</v>
      </c>
      <c r="AB46" s="7" t="s">
        <v>105</v>
      </c>
      <c r="AC46" s="7" t="s">
        <v>82</v>
      </c>
      <c r="AD46" s="7" t="s">
        <v>737</v>
      </c>
    </row>
    <row r="47" spans="1:30" ht="112" x14ac:dyDescent="0.2">
      <c r="A47" s="7" t="s">
        <v>738</v>
      </c>
      <c r="B47" s="7" t="s">
        <v>739</v>
      </c>
      <c r="C47" s="7" t="s">
        <v>177</v>
      </c>
      <c r="D47" s="7" t="s">
        <v>740</v>
      </c>
      <c r="E47" s="7" t="s">
        <v>741</v>
      </c>
      <c r="F47" s="7" t="s">
        <v>180</v>
      </c>
      <c r="G47" s="7" t="s">
        <v>61</v>
      </c>
      <c r="H47" s="7" t="s">
        <v>89</v>
      </c>
      <c r="I47" s="7" t="s">
        <v>277</v>
      </c>
      <c r="J47" s="7" t="s">
        <v>742</v>
      </c>
      <c r="K47" s="7" t="s">
        <v>92</v>
      </c>
      <c r="L47" s="7" t="s">
        <v>66</v>
      </c>
      <c r="M47" s="7" t="s">
        <v>743</v>
      </c>
      <c r="N47" s="7" t="s">
        <v>68</v>
      </c>
      <c r="O47" s="7" t="s">
        <v>744</v>
      </c>
      <c r="P47" s="7" t="s">
        <v>96</v>
      </c>
      <c r="Q47" s="7" t="s">
        <v>745</v>
      </c>
      <c r="R47" s="7" t="s">
        <v>746</v>
      </c>
      <c r="S47" s="7" t="s">
        <v>747</v>
      </c>
      <c r="T47" s="7" t="s">
        <v>139</v>
      </c>
      <c r="U47" s="7" t="s">
        <v>748</v>
      </c>
      <c r="V47" s="7" t="s">
        <v>749</v>
      </c>
      <c r="W47" s="7" t="s">
        <v>80</v>
      </c>
      <c r="X47" s="7" t="s">
        <v>369</v>
      </c>
      <c r="Y47" s="7" t="s">
        <v>750</v>
      </c>
      <c r="Z47" s="7" t="s">
        <v>77</v>
      </c>
      <c r="AA47" s="7" t="s">
        <v>80</v>
      </c>
      <c r="AB47" s="7" t="s">
        <v>105</v>
      </c>
      <c r="AC47" s="7" t="s">
        <v>82</v>
      </c>
      <c r="AD47" s="7" t="s">
        <v>751</v>
      </c>
    </row>
    <row r="48" spans="1:30" ht="98" x14ac:dyDescent="0.2">
      <c r="A48" s="7" t="s">
        <v>752</v>
      </c>
      <c r="B48" s="7" t="s">
        <v>753</v>
      </c>
      <c r="C48" s="7" t="s">
        <v>503</v>
      </c>
      <c r="D48" s="7" t="s">
        <v>754</v>
      </c>
      <c r="E48" s="7" t="s">
        <v>755</v>
      </c>
      <c r="F48" s="7" t="s">
        <v>476</v>
      </c>
      <c r="G48" s="7" t="s">
        <v>61</v>
      </c>
      <c r="H48" s="7" t="s">
        <v>89</v>
      </c>
      <c r="I48" s="7" t="s">
        <v>506</v>
      </c>
      <c r="J48" s="7" t="s">
        <v>756</v>
      </c>
      <c r="K48" s="7" t="s">
        <v>92</v>
      </c>
      <c r="L48" s="7" t="s">
        <v>66</v>
      </c>
      <c r="M48" s="7" t="s">
        <v>757</v>
      </c>
      <c r="N48" s="7" t="s">
        <v>68</v>
      </c>
      <c r="O48" s="7" t="s">
        <v>758</v>
      </c>
      <c r="P48" s="7" t="s">
        <v>153</v>
      </c>
      <c r="Q48" s="7" t="s">
        <v>759</v>
      </c>
      <c r="R48" s="7" t="s">
        <v>760</v>
      </c>
      <c r="S48" s="7" t="s">
        <v>761</v>
      </c>
      <c r="T48" s="7" t="s">
        <v>74</v>
      </c>
      <c r="U48" s="7" t="s">
        <v>762</v>
      </c>
      <c r="V48" s="7" t="s">
        <v>763</v>
      </c>
      <c r="W48" s="7" t="s">
        <v>80</v>
      </c>
      <c r="X48" s="7" t="s">
        <v>102</v>
      </c>
      <c r="Y48" s="7" t="s">
        <v>764</v>
      </c>
      <c r="Z48" s="7" t="s">
        <v>77</v>
      </c>
      <c r="AA48" s="7" t="s">
        <v>77</v>
      </c>
      <c r="AB48" s="7" t="s">
        <v>105</v>
      </c>
      <c r="AC48" s="7" t="s">
        <v>82</v>
      </c>
      <c r="AD48" s="7" t="s">
        <v>765</v>
      </c>
    </row>
    <row r="49" spans="1:30" ht="98" x14ac:dyDescent="0.2">
      <c r="A49" s="7" t="s">
        <v>766</v>
      </c>
      <c r="B49" s="7" t="s">
        <v>767</v>
      </c>
      <c r="C49" s="7" t="s">
        <v>194</v>
      </c>
      <c r="D49" s="7" t="s">
        <v>768</v>
      </c>
      <c r="E49" s="7" t="s">
        <v>769</v>
      </c>
      <c r="F49" s="7" t="s">
        <v>180</v>
      </c>
      <c r="G49" s="7" t="s">
        <v>130</v>
      </c>
      <c r="H49" s="7" t="s">
        <v>89</v>
      </c>
      <c r="I49" s="7" t="s">
        <v>770</v>
      </c>
      <c r="J49" s="7" t="s">
        <v>771</v>
      </c>
      <c r="K49" s="7" t="s">
        <v>555</v>
      </c>
      <c r="L49" s="7" t="s">
        <v>66</v>
      </c>
      <c r="M49" s="7" t="s">
        <v>772</v>
      </c>
      <c r="N49" s="7" t="s">
        <v>68</v>
      </c>
      <c r="O49" s="7" t="s">
        <v>773</v>
      </c>
      <c r="P49" s="7" t="s">
        <v>96</v>
      </c>
      <c r="Q49" s="7" t="s">
        <v>774</v>
      </c>
      <c r="R49" s="7" t="s">
        <v>775</v>
      </c>
      <c r="S49" s="7" t="s">
        <v>253</v>
      </c>
      <c r="T49" s="7" t="s">
        <v>74</v>
      </c>
      <c r="U49" s="7" t="s">
        <v>776</v>
      </c>
      <c r="V49" s="7" t="s">
        <v>777</v>
      </c>
      <c r="W49" s="7" t="s">
        <v>80</v>
      </c>
      <c r="X49" s="7" t="s">
        <v>102</v>
      </c>
      <c r="Y49" s="7" t="s">
        <v>778</v>
      </c>
      <c r="Z49" s="7" t="s">
        <v>77</v>
      </c>
      <c r="AA49" s="7" t="s">
        <v>80</v>
      </c>
      <c r="AB49" s="7" t="s">
        <v>105</v>
      </c>
      <c r="AC49" s="7" t="s">
        <v>82</v>
      </c>
      <c r="AD49" s="7" t="s">
        <v>779</v>
      </c>
    </row>
    <row r="50" spans="1:30" ht="98" x14ac:dyDescent="0.2">
      <c r="A50" s="7" t="s">
        <v>780</v>
      </c>
      <c r="B50" s="7" t="s">
        <v>781</v>
      </c>
      <c r="C50" s="7" t="s">
        <v>109</v>
      </c>
      <c r="D50" s="7" t="s">
        <v>782</v>
      </c>
      <c r="E50" s="7" t="s">
        <v>783</v>
      </c>
      <c r="F50" s="7" t="s">
        <v>180</v>
      </c>
      <c r="G50" s="7" t="s">
        <v>61</v>
      </c>
      <c r="H50" s="7" t="s">
        <v>784</v>
      </c>
      <c r="I50" s="7" t="s">
        <v>770</v>
      </c>
      <c r="J50" s="7" t="s">
        <v>785</v>
      </c>
      <c r="K50" s="7" t="s">
        <v>65</v>
      </c>
      <c r="L50" s="7" t="s">
        <v>66</v>
      </c>
      <c r="M50" s="7" t="s">
        <v>786</v>
      </c>
      <c r="N50" s="7" t="s">
        <v>68</v>
      </c>
      <c r="O50" s="7" t="s">
        <v>787</v>
      </c>
      <c r="P50" s="7" t="s">
        <v>96</v>
      </c>
      <c r="Q50" s="7" t="s">
        <v>745</v>
      </c>
      <c r="R50" s="7" t="s">
        <v>788</v>
      </c>
      <c r="S50" s="7" t="s">
        <v>73</v>
      </c>
      <c r="T50" s="7" t="s">
        <v>139</v>
      </c>
      <c r="U50" s="7" t="s">
        <v>789</v>
      </c>
      <c r="V50" s="7" t="s">
        <v>790</v>
      </c>
      <c r="W50" s="7" t="s">
        <v>77</v>
      </c>
      <c r="X50" s="7" t="s">
        <v>78</v>
      </c>
      <c r="Y50" s="7" t="s">
        <v>791</v>
      </c>
      <c r="Z50" s="7" t="s">
        <v>77</v>
      </c>
      <c r="AA50" s="7" t="s">
        <v>80</v>
      </c>
      <c r="AB50" s="7" t="s">
        <v>105</v>
      </c>
      <c r="AC50" s="7" t="s">
        <v>82</v>
      </c>
      <c r="AD50" s="7" t="s">
        <v>792</v>
      </c>
    </row>
    <row r="51" spans="1:30" ht="238" x14ac:dyDescent="0.2">
      <c r="A51" s="7" t="s">
        <v>793</v>
      </c>
      <c r="B51" s="7" t="s">
        <v>594</v>
      </c>
      <c r="C51" s="7" t="s">
        <v>177</v>
      </c>
      <c r="D51" s="7" t="s">
        <v>794</v>
      </c>
      <c r="E51" s="7" t="s">
        <v>596</v>
      </c>
      <c r="F51" s="7" t="s">
        <v>180</v>
      </c>
      <c r="G51" s="7" t="s">
        <v>61</v>
      </c>
      <c r="H51" s="7" t="s">
        <v>89</v>
      </c>
      <c r="I51" s="7" t="s">
        <v>568</v>
      </c>
      <c r="J51" s="7" t="s">
        <v>597</v>
      </c>
      <c r="K51" s="7" t="s">
        <v>92</v>
      </c>
      <c r="L51" s="7" t="s">
        <v>66</v>
      </c>
      <c r="M51" s="7" t="s">
        <v>795</v>
      </c>
      <c r="N51" s="7" t="s">
        <v>68</v>
      </c>
      <c r="O51" s="7" t="s">
        <v>796</v>
      </c>
      <c r="P51" s="7" t="s">
        <v>153</v>
      </c>
      <c r="Q51" s="7" t="s">
        <v>600</v>
      </c>
      <c r="R51" s="7" t="s">
        <v>797</v>
      </c>
      <c r="S51" s="7" t="s">
        <v>602</v>
      </c>
      <c r="T51" s="7" t="s">
        <v>187</v>
      </c>
      <c r="U51" s="7" t="s">
        <v>798</v>
      </c>
      <c r="V51" s="7" t="s">
        <v>799</v>
      </c>
      <c r="W51" s="7" t="s">
        <v>77</v>
      </c>
      <c r="X51" s="7" t="s">
        <v>78</v>
      </c>
      <c r="Y51" s="7" t="s">
        <v>800</v>
      </c>
      <c r="Z51" s="7" t="s">
        <v>77</v>
      </c>
      <c r="AA51" s="7" t="s">
        <v>80</v>
      </c>
      <c r="AB51" s="7" t="s">
        <v>105</v>
      </c>
      <c r="AC51" s="7" t="s">
        <v>82</v>
      </c>
      <c r="AD51" s="7" t="s">
        <v>801</v>
      </c>
    </row>
    <row r="52" spans="1:30" ht="126" x14ac:dyDescent="0.2">
      <c r="A52" s="7" t="s">
        <v>802</v>
      </c>
      <c r="B52" s="7" t="s">
        <v>803</v>
      </c>
      <c r="C52" s="7" t="s">
        <v>503</v>
      </c>
      <c r="D52" s="7" t="s">
        <v>804</v>
      </c>
      <c r="E52" s="7" t="s">
        <v>805</v>
      </c>
      <c r="F52" s="7" t="s">
        <v>180</v>
      </c>
      <c r="G52" s="7" t="s">
        <v>61</v>
      </c>
      <c r="H52" s="7" t="s">
        <v>806</v>
      </c>
      <c r="I52" s="7" t="s">
        <v>807</v>
      </c>
      <c r="J52" s="7" t="s">
        <v>808</v>
      </c>
      <c r="K52" s="7" t="s">
        <v>92</v>
      </c>
      <c r="L52" s="7" t="s">
        <v>66</v>
      </c>
      <c r="M52" s="7" t="s">
        <v>809</v>
      </c>
      <c r="N52" s="7" t="s">
        <v>68</v>
      </c>
      <c r="O52" s="7" t="s">
        <v>810</v>
      </c>
      <c r="P52" s="7" t="s">
        <v>153</v>
      </c>
      <c r="Q52" s="7" t="s">
        <v>136</v>
      </c>
      <c r="R52" s="7" t="s">
        <v>811</v>
      </c>
      <c r="S52" s="7" t="s">
        <v>812</v>
      </c>
      <c r="T52" s="7" t="s">
        <v>139</v>
      </c>
      <c r="U52" s="7" t="s">
        <v>813</v>
      </c>
      <c r="V52" s="7" t="s">
        <v>814</v>
      </c>
      <c r="W52" s="7" t="s">
        <v>77</v>
      </c>
      <c r="X52" s="7" t="s">
        <v>369</v>
      </c>
      <c r="Y52" s="7" t="s">
        <v>815</v>
      </c>
      <c r="Z52" s="7" t="s">
        <v>77</v>
      </c>
      <c r="AA52" s="7" t="s">
        <v>80</v>
      </c>
      <c r="AB52" s="7" t="s">
        <v>105</v>
      </c>
      <c r="AC52" s="7" t="s">
        <v>82</v>
      </c>
      <c r="AD52" s="7" t="s">
        <v>816</v>
      </c>
    </row>
    <row r="53" spans="1:30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</sheetData>
  <dataValidations count="10">
    <dataValidation type="list" allowBlank="1" sqref="G4:G400" xr:uid="{00000000-0002-0000-0100-000000000000}">
      <formula1>"RCT,Prospective cohort,Retrospective cohort,Case-control,Quasi-experimental (before-after),Post-hoc analysis of RCT/cohort,Case series,Other"</formula1>
      <formula2>0</formula2>
    </dataValidation>
    <dataValidation type="list" allowBlank="1" sqref="H4:H400" xr:uid="{00000000-0002-0000-0100-000001000000}">
      <formula1>"Single-centre,Multicentre,National registry,Other"</formula1>
      <formula2>0</formula2>
    </dataValidation>
    <dataValidation type="list" allowBlank="1" sqref="K4:K400" xr:uid="{00000000-0002-0000-0100-000002000000}">
      <formula1>"Inpatient ward,ICU,Mixed ward+ICU,Outpatient,Other"</formula1>
      <formula2>0</formula2>
    </dataValidation>
    <dataValidation type="list" allowBlank="1" sqref="L4:L400" xr:uid="{00000000-0002-0000-0100-000003000000}">
      <formula1>"HIV-positive,Non-HIV immunocompromised,Mixed,NR"</formula1>
      <formula2>0</formula2>
    </dataValidation>
    <dataValidation type="list" allowBlank="1" sqref="N4:N400" xr:uid="{00000000-0002-0000-0100-000004000000}">
      <formula1>"Proven (microscopy/PCR/BAL),Probable,Clinical/possible,Mixed,NR"</formula1>
      <formula2>0</formula2>
    </dataValidation>
    <dataValidation type="list" allowBlank="1" sqref="T4:T400" xr:uid="{00000000-0002-0000-0100-000005000000}">
      <formula1>"Yes - all/most,Yes - subset,No,NR"</formula1>
      <formula2>0</formula2>
    </dataValidation>
    <dataValidation type="list" allowBlank="1" sqref="U4:U400" xr:uid="{00000000-0002-0000-0100-000006000000}">
      <formula1>"PaO2 (room air),A-a gradient,SpO2/FiO2,PaO2/FiO2,Resp support at baseline,APACHE/SOFA,None/NR"</formula1>
      <formula2>0</formula2>
    </dataValidation>
    <dataValidation type="list" allowBlank="1" sqref="W4:W400 Z4:AA400" xr:uid="{00000000-0002-0000-0100-000007000000}">
      <formula1>"Yes,No,NR,NA"</formula1>
      <formula2>0</formula2>
    </dataValidation>
    <dataValidation type="list" allowBlank="1" sqref="X4:X400" xr:uid="{00000000-0002-0000-0100-000008000000}">
      <formula1>"Include - network,Include - pairwise only,Include - sensitivity only,Background / context only,Exclude,TBD - confirm at full text"</formula1>
      <formula2>0</formula2>
    </dataValidation>
    <dataValidation type="list" allowBlank="1" sqref="AB4:AB400" xr:uid="{00000000-0002-0000-0100-00000B000000}">
      <formula1>"Reviewer A,Reviewer B,Consensus,REL (adjudicator),Claude (machine draft)"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9"/>
  <sheetViews>
    <sheetView showGridLines="0" topLeftCell="K1" zoomScaleNormal="100" workbookViewId="0">
      <pane ySplit="3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22" customWidth="1"/>
    <col min="4" max="4" width="24" customWidth="1"/>
    <col min="5" max="5" width="8" customWidth="1"/>
    <col min="6" max="6" width="24" customWidth="1"/>
    <col min="7" max="7" width="10" customWidth="1"/>
    <col min="8" max="8" width="12" customWidth="1"/>
    <col min="9" max="9" width="16" customWidth="1"/>
    <col min="10" max="10" width="14" customWidth="1"/>
    <col min="11" max="11" width="26" customWidth="1"/>
    <col min="12" max="14" width="16" customWidth="1"/>
    <col min="15" max="15" width="22" customWidth="1"/>
    <col min="16" max="16" width="14" customWidth="1"/>
    <col min="17" max="17" width="16" customWidth="1"/>
    <col min="18" max="18" width="18" customWidth="1"/>
    <col min="19" max="19" width="12" customWidth="1"/>
    <col min="20" max="20" width="10" customWidth="1"/>
    <col min="21" max="21" width="24" customWidth="1"/>
    <col min="22" max="22" width="16" customWidth="1"/>
  </cols>
  <sheetData>
    <row r="1" spans="1:22" ht="17" x14ac:dyDescent="0.2">
      <c r="A1" s="1" t="s">
        <v>817</v>
      </c>
    </row>
    <row r="3" spans="1:22" ht="42" customHeight="1" x14ac:dyDescent="0.2">
      <c r="A3" s="5" t="s">
        <v>25</v>
      </c>
      <c r="B3" s="5" t="s">
        <v>818</v>
      </c>
      <c r="C3" s="5" t="s">
        <v>819</v>
      </c>
      <c r="D3" s="5" t="s">
        <v>820</v>
      </c>
      <c r="E3" s="5" t="s">
        <v>821</v>
      </c>
      <c r="F3" s="5" t="s">
        <v>822</v>
      </c>
      <c r="G3" s="5" t="s">
        <v>823</v>
      </c>
      <c r="H3" s="5" t="s">
        <v>824</v>
      </c>
      <c r="I3" s="5" t="s">
        <v>825</v>
      </c>
      <c r="J3" s="5" t="s">
        <v>826</v>
      </c>
      <c r="K3" s="5" t="s">
        <v>827</v>
      </c>
      <c r="L3" s="5" t="s">
        <v>828</v>
      </c>
      <c r="M3" s="5" t="s">
        <v>829</v>
      </c>
      <c r="N3" s="5" t="s">
        <v>830</v>
      </c>
      <c r="O3" s="5" t="s">
        <v>831</v>
      </c>
      <c r="P3" s="5" t="s">
        <v>832</v>
      </c>
      <c r="Q3" s="5" t="s">
        <v>833</v>
      </c>
      <c r="R3" s="5" t="s">
        <v>834</v>
      </c>
      <c r="S3" s="5" t="s">
        <v>835</v>
      </c>
      <c r="T3" s="5" t="s">
        <v>836</v>
      </c>
      <c r="U3" s="5" t="s">
        <v>837</v>
      </c>
      <c r="V3" s="5" t="s">
        <v>838</v>
      </c>
    </row>
    <row r="4" spans="1:22" ht="28" x14ac:dyDescent="0.2">
      <c r="A4" s="6" t="s">
        <v>55</v>
      </c>
      <c r="B4" s="6" t="s">
        <v>839</v>
      </c>
      <c r="C4" s="6" t="s">
        <v>253</v>
      </c>
      <c r="D4" s="6" t="s">
        <v>253</v>
      </c>
      <c r="E4" s="6" t="s">
        <v>840</v>
      </c>
      <c r="F4" s="6" t="s">
        <v>841</v>
      </c>
      <c r="G4" s="6" t="s">
        <v>842</v>
      </c>
      <c r="H4" s="6" t="s">
        <v>843</v>
      </c>
      <c r="I4" s="6" t="s">
        <v>844</v>
      </c>
      <c r="J4" s="6" t="s">
        <v>845</v>
      </c>
      <c r="K4" s="6" t="s">
        <v>846</v>
      </c>
      <c r="L4" s="6" t="s">
        <v>526</v>
      </c>
      <c r="M4" s="6" t="s">
        <v>847</v>
      </c>
      <c r="N4" s="6" t="s">
        <v>848</v>
      </c>
      <c r="O4" s="6" t="s">
        <v>849</v>
      </c>
      <c r="P4" s="6" t="s">
        <v>850</v>
      </c>
      <c r="Q4" s="6" t="s">
        <v>851</v>
      </c>
      <c r="R4" s="6" t="s">
        <v>852</v>
      </c>
      <c r="S4" s="6" t="s">
        <v>853</v>
      </c>
      <c r="T4" s="6" t="s">
        <v>702</v>
      </c>
      <c r="U4" s="6" t="s">
        <v>854</v>
      </c>
      <c r="V4" s="6" t="s">
        <v>855</v>
      </c>
    </row>
    <row r="5" spans="1:22" ht="56" x14ac:dyDescent="0.2">
      <c r="A5" s="7" t="s">
        <v>84</v>
      </c>
      <c r="B5" s="7" t="s">
        <v>856</v>
      </c>
      <c r="C5" s="7" t="s">
        <v>857</v>
      </c>
      <c r="D5" s="7" t="s">
        <v>99</v>
      </c>
      <c r="E5" s="7" t="s">
        <v>858</v>
      </c>
      <c r="F5" s="7" t="s">
        <v>859</v>
      </c>
      <c r="G5" s="7" t="s">
        <v>860</v>
      </c>
      <c r="H5" s="7" t="s">
        <v>861</v>
      </c>
      <c r="I5" s="7" t="s">
        <v>862</v>
      </c>
      <c r="J5" s="7" t="s">
        <v>863</v>
      </c>
      <c r="K5" s="7" t="s">
        <v>864</v>
      </c>
      <c r="L5" s="7" t="s">
        <v>187</v>
      </c>
      <c r="M5" s="7" t="s">
        <v>187</v>
      </c>
      <c r="N5" s="7" t="s">
        <v>187</v>
      </c>
      <c r="O5" s="7" t="s">
        <v>187</v>
      </c>
      <c r="P5" s="7" t="s">
        <v>850</v>
      </c>
      <c r="Q5" s="7" t="s">
        <v>850</v>
      </c>
      <c r="R5" s="7" t="s">
        <v>187</v>
      </c>
      <c r="S5" s="7" t="s">
        <v>187</v>
      </c>
      <c r="T5" s="7" t="s">
        <v>187</v>
      </c>
      <c r="U5" s="7" t="s">
        <v>865</v>
      </c>
      <c r="V5" s="7" t="s">
        <v>866</v>
      </c>
    </row>
    <row r="6" spans="1:22" ht="42" x14ac:dyDescent="0.2">
      <c r="A6" s="7" t="s">
        <v>84</v>
      </c>
      <c r="B6" s="7" t="s">
        <v>867</v>
      </c>
      <c r="C6" s="7" t="s">
        <v>868</v>
      </c>
      <c r="D6" s="7" t="s">
        <v>99</v>
      </c>
      <c r="E6" s="7" t="s">
        <v>312</v>
      </c>
      <c r="F6" s="7" t="s">
        <v>187</v>
      </c>
      <c r="G6" s="7" t="s">
        <v>860</v>
      </c>
      <c r="H6" s="7" t="s">
        <v>187</v>
      </c>
      <c r="I6" s="7" t="s">
        <v>187</v>
      </c>
      <c r="J6" s="7" t="s">
        <v>869</v>
      </c>
      <c r="K6" s="7" t="s">
        <v>870</v>
      </c>
      <c r="L6" s="7" t="s">
        <v>187</v>
      </c>
      <c r="M6" s="7" t="s">
        <v>187</v>
      </c>
      <c r="N6" s="7" t="s">
        <v>187</v>
      </c>
      <c r="O6" s="7" t="s">
        <v>187</v>
      </c>
      <c r="P6" s="7" t="s">
        <v>850</v>
      </c>
      <c r="Q6" s="7" t="s">
        <v>850</v>
      </c>
      <c r="R6" s="7" t="s">
        <v>187</v>
      </c>
      <c r="S6" s="7" t="s">
        <v>187</v>
      </c>
      <c r="T6" s="7" t="s">
        <v>187</v>
      </c>
      <c r="U6" s="7" t="s">
        <v>871</v>
      </c>
      <c r="V6" s="7" t="s">
        <v>872</v>
      </c>
    </row>
    <row r="7" spans="1:22" ht="56" x14ac:dyDescent="0.2">
      <c r="A7" s="7" t="s">
        <v>107</v>
      </c>
      <c r="B7" s="7" t="s">
        <v>873</v>
      </c>
      <c r="C7" s="7" t="s">
        <v>874</v>
      </c>
      <c r="D7" s="7" t="s">
        <v>99</v>
      </c>
      <c r="E7" s="7" t="s">
        <v>119</v>
      </c>
      <c r="F7" s="7" t="s">
        <v>875</v>
      </c>
      <c r="G7" s="7" t="s">
        <v>860</v>
      </c>
      <c r="H7" s="7" t="s">
        <v>187</v>
      </c>
      <c r="I7" s="7" t="s">
        <v>187</v>
      </c>
      <c r="J7" s="7" t="s">
        <v>876</v>
      </c>
      <c r="K7" s="7" t="s">
        <v>877</v>
      </c>
      <c r="L7" s="7" t="s">
        <v>878</v>
      </c>
      <c r="M7" s="7" t="s">
        <v>879</v>
      </c>
      <c r="N7" s="7" t="s">
        <v>187</v>
      </c>
      <c r="O7" s="7" t="s">
        <v>880</v>
      </c>
      <c r="P7" s="7" t="s">
        <v>850</v>
      </c>
      <c r="Q7" s="7" t="s">
        <v>881</v>
      </c>
      <c r="R7" s="7" t="s">
        <v>882</v>
      </c>
      <c r="S7" s="7" t="s">
        <v>883</v>
      </c>
      <c r="T7" s="7" t="s">
        <v>884</v>
      </c>
      <c r="U7" s="7"/>
      <c r="V7" s="7" t="s">
        <v>866</v>
      </c>
    </row>
    <row r="8" spans="1:22" ht="70" x14ac:dyDescent="0.2">
      <c r="A8" s="7" t="s">
        <v>125</v>
      </c>
      <c r="B8" s="7" t="s">
        <v>885</v>
      </c>
      <c r="C8" s="7" t="s">
        <v>886</v>
      </c>
      <c r="D8" s="7" t="s">
        <v>138</v>
      </c>
      <c r="E8" s="7" t="s">
        <v>136</v>
      </c>
      <c r="F8" s="7" t="s">
        <v>887</v>
      </c>
      <c r="G8" s="7" t="s">
        <v>888</v>
      </c>
      <c r="H8" s="7" t="s">
        <v>889</v>
      </c>
      <c r="I8" s="7" t="s">
        <v>187</v>
      </c>
      <c r="J8" s="7" t="s">
        <v>586</v>
      </c>
      <c r="K8" s="7" t="s">
        <v>890</v>
      </c>
      <c r="L8" s="7" t="s">
        <v>136</v>
      </c>
      <c r="M8" s="7" t="s">
        <v>187</v>
      </c>
      <c r="N8" s="7" t="s">
        <v>187</v>
      </c>
      <c r="O8" s="7" t="s">
        <v>891</v>
      </c>
      <c r="P8" s="7" t="s">
        <v>850</v>
      </c>
      <c r="Q8" s="7" t="s">
        <v>892</v>
      </c>
      <c r="R8" s="7" t="s">
        <v>843</v>
      </c>
      <c r="S8" s="7" t="s">
        <v>893</v>
      </c>
      <c r="T8" s="7" t="s">
        <v>894</v>
      </c>
      <c r="U8" s="7" t="s">
        <v>895</v>
      </c>
      <c r="V8" s="7" t="s">
        <v>866</v>
      </c>
    </row>
    <row r="9" spans="1:22" ht="56" x14ac:dyDescent="0.2">
      <c r="A9" s="7" t="s">
        <v>144</v>
      </c>
      <c r="B9" s="7" t="s">
        <v>896</v>
      </c>
      <c r="C9" s="7" t="s">
        <v>897</v>
      </c>
      <c r="D9" s="7" t="s">
        <v>99</v>
      </c>
      <c r="E9" s="7" t="s">
        <v>154</v>
      </c>
      <c r="F9" s="7" t="s">
        <v>187</v>
      </c>
      <c r="G9" s="7" t="s">
        <v>860</v>
      </c>
      <c r="H9" s="7" t="s">
        <v>187</v>
      </c>
      <c r="I9" s="7" t="s">
        <v>898</v>
      </c>
      <c r="J9" s="7" t="s">
        <v>169</v>
      </c>
      <c r="K9" s="7" t="s">
        <v>899</v>
      </c>
      <c r="L9" s="7" t="s">
        <v>900</v>
      </c>
      <c r="M9" s="7" t="s">
        <v>187</v>
      </c>
      <c r="N9" s="7" t="s">
        <v>187</v>
      </c>
      <c r="O9" s="7" t="s">
        <v>187</v>
      </c>
      <c r="P9" s="7" t="s">
        <v>901</v>
      </c>
      <c r="Q9" s="7" t="s">
        <v>902</v>
      </c>
      <c r="R9" s="7" t="s">
        <v>903</v>
      </c>
      <c r="S9" s="7" t="s">
        <v>904</v>
      </c>
      <c r="T9" s="7" t="s">
        <v>905</v>
      </c>
      <c r="U9" s="7"/>
      <c r="V9" s="7" t="s">
        <v>866</v>
      </c>
    </row>
    <row r="10" spans="1:22" ht="56" x14ac:dyDescent="0.2">
      <c r="A10" s="7" t="s">
        <v>160</v>
      </c>
      <c r="B10" s="7" t="s">
        <v>906</v>
      </c>
      <c r="C10" s="7" t="s">
        <v>907</v>
      </c>
      <c r="D10" s="7" t="s">
        <v>99</v>
      </c>
      <c r="E10" s="7" t="s">
        <v>169</v>
      </c>
      <c r="F10" s="7" t="s">
        <v>908</v>
      </c>
      <c r="G10" s="7" t="s">
        <v>860</v>
      </c>
      <c r="H10" s="7" t="s">
        <v>909</v>
      </c>
      <c r="I10" s="7" t="s">
        <v>187</v>
      </c>
      <c r="J10" s="7" t="s">
        <v>863</v>
      </c>
      <c r="K10" s="7" t="s">
        <v>910</v>
      </c>
      <c r="L10" s="7" t="s">
        <v>911</v>
      </c>
      <c r="M10" s="7" t="s">
        <v>187</v>
      </c>
      <c r="N10" s="7" t="s">
        <v>187</v>
      </c>
      <c r="O10" s="7" t="s">
        <v>187</v>
      </c>
      <c r="P10" s="7" t="s">
        <v>850</v>
      </c>
      <c r="Q10" s="7" t="s">
        <v>863</v>
      </c>
      <c r="R10" s="7" t="s">
        <v>850</v>
      </c>
      <c r="S10" s="7" t="s">
        <v>912</v>
      </c>
      <c r="T10" s="7" t="s">
        <v>380</v>
      </c>
      <c r="U10" s="7" t="s">
        <v>913</v>
      </c>
      <c r="V10" s="7" t="s">
        <v>914</v>
      </c>
    </row>
    <row r="11" spans="1:22" ht="42" x14ac:dyDescent="0.2">
      <c r="A11" s="7" t="s">
        <v>175</v>
      </c>
      <c r="B11" s="7" t="s">
        <v>915</v>
      </c>
      <c r="C11" s="7" t="s">
        <v>916</v>
      </c>
      <c r="D11" s="7" t="s">
        <v>99</v>
      </c>
      <c r="E11" s="7" t="s">
        <v>917</v>
      </c>
      <c r="F11" s="7" t="s">
        <v>918</v>
      </c>
      <c r="G11" s="7" t="s">
        <v>919</v>
      </c>
      <c r="H11" s="7" t="s">
        <v>920</v>
      </c>
      <c r="I11" s="7" t="s">
        <v>187</v>
      </c>
      <c r="J11" s="7" t="s">
        <v>187</v>
      </c>
      <c r="K11" s="7" t="s">
        <v>187</v>
      </c>
      <c r="L11" s="7" t="s">
        <v>187</v>
      </c>
      <c r="M11" s="7" t="s">
        <v>921</v>
      </c>
      <c r="N11" s="7" t="s">
        <v>187</v>
      </c>
      <c r="O11" s="7" t="s">
        <v>922</v>
      </c>
      <c r="P11" s="7" t="s">
        <v>850</v>
      </c>
      <c r="Q11" s="7" t="s">
        <v>187</v>
      </c>
      <c r="R11" s="7" t="s">
        <v>187</v>
      </c>
      <c r="S11" s="7" t="s">
        <v>893</v>
      </c>
      <c r="T11" s="7" t="s">
        <v>187</v>
      </c>
      <c r="U11" s="7" t="s">
        <v>923</v>
      </c>
      <c r="V11" s="7" t="s">
        <v>924</v>
      </c>
    </row>
    <row r="12" spans="1:22" ht="42" x14ac:dyDescent="0.2">
      <c r="A12" s="7" t="s">
        <v>175</v>
      </c>
      <c r="B12" s="7" t="s">
        <v>925</v>
      </c>
      <c r="C12" s="7" t="s">
        <v>926</v>
      </c>
      <c r="D12" s="7" t="s">
        <v>99</v>
      </c>
      <c r="E12" s="7" t="s">
        <v>927</v>
      </c>
      <c r="F12" s="7" t="s">
        <v>928</v>
      </c>
      <c r="G12" s="7" t="s">
        <v>919</v>
      </c>
      <c r="H12" s="7" t="s">
        <v>929</v>
      </c>
      <c r="I12" s="7" t="s">
        <v>187</v>
      </c>
      <c r="J12" s="7" t="s">
        <v>187</v>
      </c>
      <c r="K12" s="7" t="s">
        <v>187</v>
      </c>
      <c r="L12" s="7" t="s">
        <v>187</v>
      </c>
      <c r="M12" s="7" t="s">
        <v>930</v>
      </c>
      <c r="N12" s="7" t="s">
        <v>187</v>
      </c>
      <c r="O12" s="7" t="s">
        <v>931</v>
      </c>
      <c r="P12" s="7" t="s">
        <v>850</v>
      </c>
      <c r="Q12" s="7" t="s">
        <v>187</v>
      </c>
      <c r="R12" s="7" t="s">
        <v>187</v>
      </c>
      <c r="S12" s="7" t="s">
        <v>932</v>
      </c>
      <c r="T12" s="7" t="s">
        <v>187</v>
      </c>
      <c r="U12" s="7" t="s">
        <v>933</v>
      </c>
      <c r="V12" s="7" t="s">
        <v>924</v>
      </c>
    </row>
    <row r="13" spans="1:22" ht="28" x14ac:dyDescent="0.2">
      <c r="A13" s="7" t="s">
        <v>192</v>
      </c>
      <c r="B13" s="7" t="s">
        <v>934</v>
      </c>
      <c r="C13" s="7" t="s">
        <v>935</v>
      </c>
      <c r="D13" s="7" t="s">
        <v>99</v>
      </c>
      <c r="E13" s="7" t="s">
        <v>465</v>
      </c>
      <c r="F13" s="7" t="s">
        <v>936</v>
      </c>
      <c r="G13" s="7" t="s">
        <v>860</v>
      </c>
      <c r="H13" s="7" t="s">
        <v>187</v>
      </c>
      <c r="I13" s="7" t="s">
        <v>187</v>
      </c>
      <c r="J13" s="7" t="s">
        <v>863</v>
      </c>
      <c r="K13" s="7" t="s">
        <v>937</v>
      </c>
      <c r="L13" s="7" t="s">
        <v>187</v>
      </c>
      <c r="M13" s="7" t="s">
        <v>938</v>
      </c>
      <c r="N13" s="7" t="s">
        <v>187</v>
      </c>
      <c r="O13" s="7" t="s">
        <v>939</v>
      </c>
      <c r="P13" s="7" t="s">
        <v>850</v>
      </c>
      <c r="Q13" s="7" t="s">
        <v>863</v>
      </c>
      <c r="R13" s="7" t="s">
        <v>850</v>
      </c>
      <c r="S13" s="7" t="s">
        <v>940</v>
      </c>
      <c r="T13" s="7" t="s">
        <v>941</v>
      </c>
      <c r="U13" s="7" t="s">
        <v>942</v>
      </c>
      <c r="V13" s="7" t="s">
        <v>924</v>
      </c>
    </row>
    <row r="14" spans="1:22" ht="42" x14ac:dyDescent="0.2">
      <c r="A14" s="7" t="s">
        <v>192</v>
      </c>
      <c r="B14" s="7" t="s">
        <v>943</v>
      </c>
      <c r="C14" s="7" t="s">
        <v>944</v>
      </c>
      <c r="D14" s="7" t="s">
        <v>945</v>
      </c>
      <c r="E14" s="7" t="s">
        <v>465</v>
      </c>
      <c r="F14" s="7" t="s">
        <v>946</v>
      </c>
      <c r="G14" s="7" t="s">
        <v>860</v>
      </c>
      <c r="H14" s="7" t="s">
        <v>187</v>
      </c>
      <c r="I14" s="7" t="s">
        <v>187</v>
      </c>
      <c r="J14" s="7" t="s">
        <v>863</v>
      </c>
      <c r="K14" s="7" t="s">
        <v>937</v>
      </c>
      <c r="L14" s="7" t="s">
        <v>187</v>
      </c>
      <c r="M14" s="7" t="s">
        <v>947</v>
      </c>
      <c r="N14" s="7" t="s">
        <v>187</v>
      </c>
      <c r="O14" s="7" t="s">
        <v>948</v>
      </c>
      <c r="P14" s="7" t="s">
        <v>850</v>
      </c>
      <c r="Q14" s="7" t="s">
        <v>863</v>
      </c>
      <c r="R14" s="7" t="s">
        <v>850</v>
      </c>
      <c r="S14" s="7" t="s">
        <v>949</v>
      </c>
      <c r="T14" s="7" t="s">
        <v>950</v>
      </c>
      <c r="U14" s="7" t="s">
        <v>951</v>
      </c>
      <c r="V14" s="7" t="s">
        <v>924</v>
      </c>
    </row>
    <row r="15" spans="1:22" ht="42" x14ac:dyDescent="0.2">
      <c r="A15" s="7" t="s">
        <v>211</v>
      </c>
      <c r="B15" s="7" t="s">
        <v>952</v>
      </c>
      <c r="C15" s="7" t="s">
        <v>953</v>
      </c>
      <c r="D15" s="7" t="s">
        <v>99</v>
      </c>
      <c r="E15" s="7" t="s">
        <v>954</v>
      </c>
      <c r="F15" s="7" t="s">
        <v>955</v>
      </c>
      <c r="G15" s="7" t="s">
        <v>860</v>
      </c>
      <c r="H15" s="7" t="s">
        <v>187</v>
      </c>
      <c r="I15" s="7" t="s">
        <v>956</v>
      </c>
      <c r="J15" s="7" t="s">
        <v>863</v>
      </c>
      <c r="K15" s="7" t="s">
        <v>957</v>
      </c>
      <c r="L15" s="7" t="s">
        <v>187</v>
      </c>
      <c r="M15" s="7" t="s">
        <v>958</v>
      </c>
      <c r="N15" s="7" t="s">
        <v>187</v>
      </c>
      <c r="O15" s="7" t="s">
        <v>959</v>
      </c>
      <c r="P15" s="7" t="s">
        <v>850</v>
      </c>
      <c r="Q15" s="7" t="s">
        <v>187</v>
      </c>
      <c r="R15" s="7" t="s">
        <v>960</v>
      </c>
      <c r="S15" s="7" t="s">
        <v>961</v>
      </c>
      <c r="T15" s="7" t="s">
        <v>962</v>
      </c>
      <c r="U15" s="7" t="s">
        <v>963</v>
      </c>
      <c r="V15" s="7" t="s">
        <v>855</v>
      </c>
    </row>
    <row r="16" spans="1:22" ht="28" x14ac:dyDescent="0.2">
      <c r="A16" s="7" t="s">
        <v>211</v>
      </c>
      <c r="B16" s="7" t="s">
        <v>964</v>
      </c>
      <c r="C16" s="7" t="s">
        <v>953</v>
      </c>
      <c r="D16" s="7" t="s">
        <v>99</v>
      </c>
      <c r="E16" s="7" t="s">
        <v>965</v>
      </c>
      <c r="F16" s="7" t="s">
        <v>966</v>
      </c>
      <c r="G16" s="7" t="s">
        <v>860</v>
      </c>
      <c r="H16" s="7" t="s">
        <v>187</v>
      </c>
      <c r="I16" s="7" t="s">
        <v>967</v>
      </c>
      <c r="J16" s="7" t="s">
        <v>863</v>
      </c>
      <c r="K16" s="7" t="s">
        <v>968</v>
      </c>
      <c r="L16" s="7" t="s">
        <v>187</v>
      </c>
      <c r="M16" s="7" t="s">
        <v>969</v>
      </c>
      <c r="N16" s="7" t="s">
        <v>187</v>
      </c>
      <c r="O16" s="7" t="s">
        <v>970</v>
      </c>
      <c r="P16" s="7" t="s">
        <v>850</v>
      </c>
      <c r="Q16" s="7" t="s">
        <v>187</v>
      </c>
      <c r="R16" s="7" t="s">
        <v>971</v>
      </c>
      <c r="S16" s="7" t="s">
        <v>972</v>
      </c>
      <c r="T16" s="7" t="s">
        <v>973</v>
      </c>
      <c r="U16" s="7" t="s">
        <v>974</v>
      </c>
      <c r="V16" s="7" t="s">
        <v>924</v>
      </c>
    </row>
    <row r="17" spans="1:22" ht="42" x14ac:dyDescent="0.2">
      <c r="A17" s="7" t="s">
        <v>227</v>
      </c>
      <c r="B17" s="7" t="s">
        <v>975</v>
      </c>
      <c r="C17" s="7" t="s">
        <v>976</v>
      </c>
      <c r="D17" s="7" t="s">
        <v>99</v>
      </c>
      <c r="E17" s="7" t="s">
        <v>852</v>
      </c>
      <c r="F17" s="7" t="s">
        <v>977</v>
      </c>
      <c r="G17" s="7" t="s">
        <v>187</v>
      </c>
      <c r="H17" s="7" t="s">
        <v>843</v>
      </c>
      <c r="I17" s="7" t="s">
        <v>187</v>
      </c>
      <c r="J17" s="7" t="s">
        <v>850</v>
      </c>
      <c r="K17" s="7" t="s">
        <v>978</v>
      </c>
      <c r="L17" s="7" t="s">
        <v>187</v>
      </c>
      <c r="M17" s="7" t="s">
        <v>187</v>
      </c>
      <c r="N17" s="7" t="s">
        <v>187</v>
      </c>
      <c r="O17" s="7" t="s">
        <v>187</v>
      </c>
      <c r="P17" s="7" t="s">
        <v>850</v>
      </c>
      <c r="Q17" s="7" t="s">
        <v>863</v>
      </c>
      <c r="R17" s="7" t="s">
        <v>850</v>
      </c>
      <c r="S17" s="7" t="s">
        <v>853</v>
      </c>
      <c r="T17" s="7" t="s">
        <v>979</v>
      </c>
      <c r="U17" s="7" t="s">
        <v>980</v>
      </c>
      <c r="V17" s="7" t="s">
        <v>981</v>
      </c>
    </row>
    <row r="18" spans="1:22" ht="56" x14ac:dyDescent="0.2">
      <c r="A18" s="7" t="s">
        <v>227</v>
      </c>
      <c r="B18" s="7" t="s">
        <v>982</v>
      </c>
      <c r="C18" s="7" t="s">
        <v>983</v>
      </c>
      <c r="D18" s="7" t="s">
        <v>99</v>
      </c>
      <c r="E18" s="7" t="s">
        <v>97</v>
      </c>
      <c r="F18" s="7" t="s">
        <v>984</v>
      </c>
      <c r="G18" s="7" t="s">
        <v>187</v>
      </c>
      <c r="H18" s="7" t="s">
        <v>843</v>
      </c>
      <c r="I18" s="7" t="s">
        <v>187</v>
      </c>
      <c r="J18" s="7" t="s">
        <v>863</v>
      </c>
      <c r="K18" s="7" t="s">
        <v>985</v>
      </c>
      <c r="L18" s="7" t="s">
        <v>187</v>
      </c>
      <c r="M18" s="7" t="s">
        <v>187</v>
      </c>
      <c r="N18" s="7" t="s">
        <v>187</v>
      </c>
      <c r="O18" s="7" t="s">
        <v>187</v>
      </c>
      <c r="P18" s="7" t="s">
        <v>850</v>
      </c>
      <c r="Q18" s="7" t="s">
        <v>863</v>
      </c>
      <c r="R18" s="7" t="s">
        <v>850</v>
      </c>
      <c r="S18" s="7" t="s">
        <v>845</v>
      </c>
      <c r="T18" s="7" t="s">
        <v>986</v>
      </c>
      <c r="U18" s="7" t="s">
        <v>987</v>
      </c>
      <c r="V18" s="7" t="s">
        <v>981</v>
      </c>
    </row>
    <row r="19" spans="1:22" ht="98" x14ac:dyDescent="0.2">
      <c r="A19" s="7" t="s">
        <v>244</v>
      </c>
      <c r="B19" s="7" t="s">
        <v>988</v>
      </c>
      <c r="C19" s="7" t="s">
        <v>989</v>
      </c>
      <c r="D19" s="7" t="s">
        <v>253</v>
      </c>
      <c r="E19" s="7" t="s">
        <v>251</v>
      </c>
      <c r="F19" s="7" t="s">
        <v>990</v>
      </c>
      <c r="G19" s="7" t="s">
        <v>888</v>
      </c>
      <c r="H19" s="7" t="s">
        <v>991</v>
      </c>
      <c r="I19" s="7" t="s">
        <v>187</v>
      </c>
      <c r="J19" s="7" t="s">
        <v>863</v>
      </c>
      <c r="K19" s="7" t="s">
        <v>992</v>
      </c>
      <c r="L19" s="7" t="s">
        <v>863</v>
      </c>
      <c r="M19" s="7" t="s">
        <v>993</v>
      </c>
      <c r="N19" s="7" t="s">
        <v>187</v>
      </c>
      <c r="O19" s="7" t="s">
        <v>187</v>
      </c>
      <c r="P19" s="7" t="s">
        <v>850</v>
      </c>
      <c r="Q19" s="7" t="s">
        <v>863</v>
      </c>
      <c r="R19" s="7" t="s">
        <v>850</v>
      </c>
      <c r="S19" s="7" t="s">
        <v>991</v>
      </c>
      <c r="T19" s="7" t="s">
        <v>850</v>
      </c>
      <c r="U19" s="7" t="s">
        <v>994</v>
      </c>
      <c r="V19" s="7" t="s">
        <v>995</v>
      </c>
    </row>
    <row r="20" spans="1:22" ht="56" x14ac:dyDescent="0.2">
      <c r="A20" s="7" t="s">
        <v>258</v>
      </c>
      <c r="B20" s="7" t="s">
        <v>996</v>
      </c>
      <c r="C20" s="7" t="s">
        <v>997</v>
      </c>
      <c r="D20" s="7" t="s">
        <v>99</v>
      </c>
      <c r="E20" s="7" t="s">
        <v>265</v>
      </c>
      <c r="F20" s="7" t="s">
        <v>998</v>
      </c>
      <c r="G20" s="7" t="s">
        <v>187</v>
      </c>
      <c r="H20" s="7" t="s">
        <v>843</v>
      </c>
      <c r="I20" s="7" t="s">
        <v>999</v>
      </c>
      <c r="J20" s="7" t="s">
        <v>187</v>
      </c>
      <c r="K20" s="7" t="s">
        <v>1000</v>
      </c>
      <c r="L20" s="7" t="s">
        <v>187</v>
      </c>
      <c r="M20" s="7" t="s">
        <v>187</v>
      </c>
      <c r="N20" s="7" t="s">
        <v>187</v>
      </c>
      <c r="O20" s="7" t="s">
        <v>187</v>
      </c>
      <c r="P20" s="7" t="s">
        <v>850</v>
      </c>
      <c r="Q20" s="7" t="s">
        <v>850</v>
      </c>
      <c r="R20" s="7" t="s">
        <v>863</v>
      </c>
      <c r="S20" s="7" t="s">
        <v>380</v>
      </c>
      <c r="T20" s="7" t="s">
        <v>1001</v>
      </c>
      <c r="U20" s="7" t="s">
        <v>1002</v>
      </c>
      <c r="V20" s="7" t="s">
        <v>1003</v>
      </c>
    </row>
    <row r="21" spans="1:22" ht="42" x14ac:dyDescent="0.2">
      <c r="A21" s="7" t="s">
        <v>271</v>
      </c>
      <c r="B21" s="7" t="s">
        <v>1004</v>
      </c>
      <c r="C21" s="7" t="s">
        <v>1005</v>
      </c>
      <c r="D21" s="7" t="s">
        <v>99</v>
      </c>
      <c r="E21" s="7" t="s">
        <v>1006</v>
      </c>
      <c r="F21" s="7" t="s">
        <v>1007</v>
      </c>
      <c r="G21" s="7" t="s">
        <v>187</v>
      </c>
      <c r="H21" s="7" t="s">
        <v>843</v>
      </c>
      <c r="I21" s="7" t="s">
        <v>1008</v>
      </c>
      <c r="J21" s="7" t="s">
        <v>863</v>
      </c>
      <c r="K21" s="7" t="s">
        <v>1009</v>
      </c>
      <c r="L21" s="7" t="s">
        <v>965</v>
      </c>
      <c r="M21" s="7" t="s">
        <v>1010</v>
      </c>
      <c r="N21" s="7" t="s">
        <v>1011</v>
      </c>
      <c r="O21" s="7" t="s">
        <v>1012</v>
      </c>
      <c r="P21" s="7" t="s">
        <v>850</v>
      </c>
      <c r="Q21" s="7" t="s">
        <v>187</v>
      </c>
      <c r="R21" s="7" t="s">
        <v>1013</v>
      </c>
      <c r="S21" s="7" t="s">
        <v>853</v>
      </c>
      <c r="T21" s="7" t="s">
        <v>853</v>
      </c>
      <c r="U21" s="7" t="s">
        <v>1014</v>
      </c>
      <c r="V21" s="7" t="s">
        <v>1015</v>
      </c>
    </row>
    <row r="22" spans="1:22" ht="42" x14ac:dyDescent="0.2">
      <c r="A22" s="7" t="s">
        <v>271</v>
      </c>
      <c r="B22" s="7" t="s">
        <v>1016</v>
      </c>
      <c r="C22" s="7" t="s">
        <v>1017</v>
      </c>
      <c r="D22" s="7" t="s">
        <v>253</v>
      </c>
      <c r="E22" s="7" t="s">
        <v>1018</v>
      </c>
      <c r="F22" s="7" t="s">
        <v>1019</v>
      </c>
      <c r="G22" s="7" t="s">
        <v>1020</v>
      </c>
      <c r="H22" s="7" t="s">
        <v>187</v>
      </c>
      <c r="I22" s="7" t="s">
        <v>1008</v>
      </c>
      <c r="J22" s="7" t="s">
        <v>863</v>
      </c>
      <c r="K22" s="7" t="s">
        <v>1021</v>
      </c>
      <c r="L22" s="7" t="s">
        <v>1022</v>
      </c>
      <c r="M22" s="7" t="s">
        <v>187</v>
      </c>
      <c r="N22" s="7" t="s">
        <v>187</v>
      </c>
      <c r="O22" s="7" t="s">
        <v>1023</v>
      </c>
      <c r="P22" s="7" t="s">
        <v>850</v>
      </c>
      <c r="Q22" s="7" t="s">
        <v>187</v>
      </c>
      <c r="R22" s="7" t="s">
        <v>187</v>
      </c>
      <c r="S22" s="7" t="s">
        <v>853</v>
      </c>
      <c r="T22" s="7" t="s">
        <v>853</v>
      </c>
      <c r="U22" s="7" t="s">
        <v>1024</v>
      </c>
      <c r="V22" s="7" t="s">
        <v>1015</v>
      </c>
    </row>
    <row r="23" spans="1:22" ht="42" x14ac:dyDescent="0.2">
      <c r="A23" s="7" t="s">
        <v>287</v>
      </c>
      <c r="B23" s="7" t="s">
        <v>1025</v>
      </c>
      <c r="C23" s="7" t="s">
        <v>1026</v>
      </c>
      <c r="D23" s="7" t="s">
        <v>99</v>
      </c>
      <c r="E23" s="7" t="s">
        <v>1027</v>
      </c>
      <c r="F23" s="7" t="s">
        <v>1028</v>
      </c>
      <c r="G23" s="7" t="s">
        <v>187</v>
      </c>
      <c r="H23" s="7" t="s">
        <v>187</v>
      </c>
      <c r="I23" s="7" t="s">
        <v>187</v>
      </c>
      <c r="J23" s="7" t="s">
        <v>863</v>
      </c>
      <c r="K23" s="7" t="s">
        <v>1029</v>
      </c>
      <c r="L23" s="7" t="s">
        <v>187</v>
      </c>
      <c r="M23" s="7" t="s">
        <v>1030</v>
      </c>
      <c r="N23" s="7" t="s">
        <v>187</v>
      </c>
      <c r="O23" s="7" t="s">
        <v>187</v>
      </c>
      <c r="P23" s="7" t="s">
        <v>850</v>
      </c>
      <c r="Q23" s="7" t="s">
        <v>187</v>
      </c>
      <c r="R23" s="7" t="s">
        <v>187</v>
      </c>
      <c r="S23" s="7" t="s">
        <v>1031</v>
      </c>
      <c r="T23" s="7" t="s">
        <v>1032</v>
      </c>
      <c r="U23" s="7" t="s">
        <v>1033</v>
      </c>
      <c r="V23" s="7" t="s">
        <v>924</v>
      </c>
    </row>
    <row r="24" spans="1:22" ht="28" x14ac:dyDescent="0.2">
      <c r="A24" s="7" t="s">
        <v>287</v>
      </c>
      <c r="B24" s="7" t="s">
        <v>1034</v>
      </c>
      <c r="C24" s="7" t="s">
        <v>1035</v>
      </c>
      <c r="D24" s="7" t="s">
        <v>99</v>
      </c>
      <c r="E24" s="7" t="s">
        <v>1036</v>
      </c>
      <c r="F24" s="7" t="s">
        <v>1037</v>
      </c>
      <c r="G24" s="7" t="s">
        <v>187</v>
      </c>
      <c r="H24" s="7" t="s">
        <v>187</v>
      </c>
      <c r="I24" s="7" t="s">
        <v>187</v>
      </c>
      <c r="J24" s="7" t="s">
        <v>850</v>
      </c>
      <c r="K24" s="7" t="s">
        <v>978</v>
      </c>
      <c r="L24" s="7" t="s">
        <v>187</v>
      </c>
      <c r="M24" s="7" t="s">
        <v>1038</v>
      </c>
      <c r="N24" s="7" t="s">
        <v>187</v>
      </c>
      <c r="O24" s="7" t="s">
        <v>187</v>
      </c>
      <c r="P24" s="7" t="s">
        <v>850</v>
      </c>
      <c r="Q24" s="7" t="s">
        <v>187</v>
      </c>
      <c r="R24" s="7" t="s">
        <v>187</v>
      </c>
      <c r="S24" s="7" t="s">
        <v>1039</v>
      </c>
      <c r="T24" s="7" t="s">
        <v>1040</v>
      </c>
      <c r="U24" s="7" t="s">
        <v>1041</v>
      </c>
      <c r="V24" s="7" t="s">
        <v>924</v>
      </c>
    </row>
    <row r="25" spans="1:22" ht="42" x14ac:dyDescent="0.2">
      <c r="A25" s="7" t="s">
        <v>303</v>
      </c>
      <c r="B25" s="7" t="s">
        <v>1042</v>
      </c>
      <c r="C25" s="7" t="s">
        <v>1043</v>
      </c>
      <c r="D25" s="7" t="s">
        <v>99</v>
      </c>
      <c r="E25" s="7" t="s">
        <v>851</v>
      </c>
      <c r="F25" s="7" t="s">
        <v>187</v>
      </c>
      <c r="G25" s="7" t="s">
        <v>187</v>
      </c>
      <c r="H25" s="7" t="s">
        <v>187</v>
      </c>
      <c r="I25" s="7" t="s">
        <v>187</v>
      </c>
      <c r="J25" s="7" t="s">
        <v>312</v>
      </c>
      <c r="K25" s="7" t="s">
        <v>1044</v>
      </c>
      <c r="L25" s="7" t="s">
        <v>187</v>
      </c>
      <c r="M25" s="7" t="s">
        <v>187</v>
      </c>
      <c r="N25" s="7" t="s">
        <v>187</v>
      </c>
      <c r="O25" s="7" t="s">
        <v>1045</v>
      </c>
      <c r="P25" s="7" t="s">
        <v>850</v>
      </c>
      <c r="Q25" s="7" t="s">
        <v>187</v>
      </c>
      <c r="R25" s="7" t="s">
        <v>1046</v>
      </c>
      <c r="S25" s="7" t="s">
        <v>185</v>
      </c>
      <c r="T25" s="7" t="s">
        <v>1047</v>
      </c>
      <c r="U25" s="7" t="s">
        <v>1048</v>
      </c>
      <c r="V25" s="7" t="s">
        <v>924</v>
      </c>
    </row>
    <row r="26" spans="1:22" ht="28" x14ac:dyDescent="0.2">
      <c r="A26" s="7" t="s">
        <v>303</v>
      </c>
      <c r="B26" s="7" t="s">
        <v>1049</v>
      </c>
      <c r="C26" s="7" t="s">
        <v>1050</v>
      </c>
      <c r="D26" s="7" t="s">
        <v>99</v>
      </c>
      <c r="E26" s="7" t="s">
        <v>1051</v>
      </c>
      <c r="F26" s="7" t="s">
        <v>187</v>
      </c>
      <c r="G26" s="7" t="s">
        <v>187</v>
      </c>
      <c r="H26" s="7" t="s">
        <v>187</v>
      </c>
      <c r="I26" s="7" t="s">
        <v>187</v>
      </c>
      <c r="J26" s="7" t="s">
        <v>1052</v>
      </c>
      <c r="K26" s="7" t="s">
        <v>1044</v>
      </c>
      <c r="L26" s="7" t="s">
        <v>187</v>
      </c>
      <c r="M26" s="7" t="s">
        <v>187</v>
      </c>
      <c r="N26" s="7" t="s">
        <v>187</v>
      </c>
      <c r="O26" s="7" t="s">
        <v>1053</v>
      </c>
      <c r="P26" s="7" t="s">
        <v>863</v>
      </c>
      <c r="Q26" s="7" t="s">
        <v>850</v>
      </c>
      <c r="R26" s="7" t="s">
        <v>850</v>
      </c>
      <c r="S26" s="7" t="s">
        <v>526</v>
      </c>
      <c r="T26" s="7" t="s">
        <v>1054</v>
      </c>
      <c r="U26" s="7" t="s">
        <v>1055</v>
      </c>
      <c r="V26" s="7" t="s">
        <v>924</v>
      </c>
    </row>
    <row r="27" spans="1:22" ht="56" x14ac:dyDescent="0.2">
      <c r="A27" s="7" t="s">
        <v>318</v>
      </c>
      <c r="B27" s="7" t="s">
        <v>1056</v>
      </c>
      <c r="C27" s="7" t="s">
        <v>1057</v>
      </c>
      <c r="D27" s="7" t="s">
        <v>99</v>
      </c>
      <c r="E27" s="7" t="s">
        <v>329</v>
      </c>
      <c r="F27" s="7" t="s">
        <v>1058</v>
      </c>
      <c r="G27" s="7" t="s">
        <v>187</v>
      </c>
      <c r="H27" s="7" t="s">
        <v>187</v>
      </c>
      <c r="I27" s="7" t="s">
        <v>1059</v>
      </c>
      <c r="J27" s="7" t="s">
        <v>1060</v>
      </c>
      <c r="K27" s="7" t="s">
        <v>1061</v>
      </c>
      <c r="L27" s="7" t="s">
        <v>1062</v>
      </c>
      <c r="M27" s="7" t="s">
        <v>1063</v>
      </c>
      <c r="N27" s="7" t="s">
        <v>1064</v>
      </c>
      <c r="O27" s="7" t="s">
        <v>187</v>
      </c>
      <c r="P27" s="7" t="s">
        <v>850</v>
      </c>
      <c r="Q27" s="7" t="s">
        <v>1065</v>
      </c>
      <c r="R27" s="7" t="s">
        <v>526</v>
      </c>
      <c r="S27" s="7" t="s">
        <v>1066</v>
      </c>
      <c r="T27" s="7" t="s">
        <v>1067</v>
      </c>
      <c r="U27" s="7" t="s">
        <v>1068</v>
      </c>
      <c r="V27" s="7" t="s">
        <v>1069</v>
      </c>
    </row>
    <row r="28" spans="1:22" ht="84" x14ac:dyDescent="0.2">
      <c r="A28" s="7" t="s">
        <v>335</v>
      </c>
      <c r="B28" s="7" t="s">
        <v>1070</v>
      </c>
      <c r="C28" s="7" t="s">
        <v>1071</v>
      </c>
      <c r="D28" s="7" t="s">
        <v>348</v>
      </c>
      <c r="E28" s="7" t="s">
        <v>346</v>
      </c>
      <c r="F28" s="7" t="s">
        <v>1072</v>
      </c>
      <c r="G28" s="7" t="s">
        <v>1073</v>
      </c>
      <c r="H28" s="7" t="s">
        <v>1074</v>
      </c>
      <c r="I28" s="7" t="s">
        <v>187</v>
      </c>
      <c r="J28" s="7" t="s">
        <v>187</v>
      </c>
      <c r="K28" s="7" t="s">
        <v>1075</v>
      </c>
      <c r="L28" s="7" t="s">
        <v>187</v>
      </c>
      <c r="M28" s="7" t="s">
        <v>187</v>
      </c>
      <c r="N28" s="7" t="s">
        <v>187</v>
      </c>
      <c r="O28" s="7" t="s">
        <v>187</v>
      </c>
      <c r="P28" s="7" t="s">
        <v>1076</v>
      </c>
      <c r="Q28" s="7" t="s">
        <v>850</v>
      </c>
      <c r="R28" s="7" t="s">
        <v>450</v>
      </c>
      <c r="S28" s="7" t="s">
        <v>169</v>
      </c>
      <c r="T28" s="7" t="s">
        <v>265</v>
      </c>
      <c r="U28" s="7" t="s">
        <v>1077</v>
      </c>
      <c r="V28" s="7" t="s">
        <v>1003</v>
      </c>
    </row>
    <row r="29" spans="1:22" ht="56" x14ac:dyDescent="0.2">
      <c r="A29" s="7" t="s">
        <v>353</v>
      </c>
      <c r="B29" s="7" t="s">
        <v>1078</v>
      </c>
      <c r="C29" s="7" t="s">
        <v>1079</v>
      </c>
      <c r="D29" s="7" t="s">
        <v>1080</v>
      </c>
      <c r="E29" s="7" t="s">
        <v>1081</v>
      </c>
      <c r="F29" s="7" t="s">
        <v>1082</v>
      </c>
      <c r="G29" s="7" t="s">
        <v>888</v>
      </c>
      <c r="H29" s="7" t="s">
        <v>1083</v>
      </c>
      <c r="I29" s="7" t="s">
        <v>1084</v>
      </c>
      <c r="J29" s="7" t="s">
        <v>1085</v>
      </c>
      <c r="K29" s="7" t="s">
        <v>1086</v>
      </c>
      <c r="L29" s="7" t="s">
        <v>380</v>
      </c>
      <c r="M29" s="7" t="s">
        <v>187</v>
      </c>
      <c r="N29" s="7" t="s">
        <v>187</v>
      </c>
      <c r="O29" s="7" t="s">
        <v>187</v>
      </c>
      <c r="P29" s="7" t="s">
        <v>850</v>
      </c>
      <c r="Q29" s="7" t="s">
        <v>774</v>
      </c>
      <c r="R29" s="7" t="s">
        <v>1087</v>
      </c>
      <c r="S29" s="7" t="s">
        <v>932</v>
      </c>
      <c r="T29" s="7" t="s">
        <v>894</v>
      </c>
      <c r="U29" s="7" t="s">
        <v>1088</v>
      </c>
      <c r="V29" s="7" t="s">
        <v>1089</v>
      </c>
    </row>
    <row r="30" spans="1:22" ht="84" x14ac:dyDescent="0.2">
      <c r="A30" s="7" t="s">
        <v>353</v>
      </c>
      <c r="B30" s="7" t="s">
        <v>1090</v>
      </c>
      <c r="C30" s="7" t="s">
        <v>1091</v>
      </c>
      <c r="D30" s="7" t="s">
        <v>1092</v>
      </c>
      <c r="E30" s="7" t="s">
        <v>1093</v>
      </c>
      <c r="F30" s="7" t="s">
        <v>1094</v>
      </c>
      <c r="G30" s="7" t="s">
        <v>888</v>
      </c>
      <c r="H30" s="7" t="s">
        <v>1095</v>
      </c>
      <c r="I30" s="7" t="s">
        <v>1096</v>
      </c>
      <c r="J30" s="7" t="s">
        <v>863</v>
      </c>
      <c r="K30" s="7" t="s">
        <v>1097</v>
      </c>
      <c r="L30" s="7" t="s">
        <v>851</v>
      </c>
      <c r="M30" s="7" t="s">
        <v>187</v>
      </c>
      <c r="N30" s="7" t="s">
        <v>187</v>
      </c>
      <c r="O30" s="7" t="s">
        <v>187</v>
      </c>
      <c r="P30" s="7" t="s">
        <v>850</v>
      </c>
      <c r="Q30" s="7" t="s">
        <v>843</v>
      </c>
      <c r="R30" s="7" t="s">
        <v>526</v>
      </c>
      <c r="S30" s="7" t="s">
        <v>932</v>
      </c>
      <c r="T30" s="7" t="s">
        <v>1098</v>
      </c>
      <c r="U30" s="7" t="s">
        <v>1099</v>
      </c>
      <c r="V30" s="7" t="s">
        <v>1089</v>
      </c>
    </row>
    <row r="31" spans="1:22" ht="84" x14ac:dyDescent="0.2">
      <c r="A31" s="7" t="s">
        <v>372</v>
      </c>
      <c r="B31" s="7" t="s">
        <v>1100</v>
      </c>
      <c r="C31" s="7" t="s">
        <v>1101</v>
      </c>
      <c r="D31" s="7" t="s">
        <v>253</v>
      </c>
      <c r="E31" s="7" t="s">
        <v>203</v>
      </c>
      <c r="F31" s="7" t="s">
        <v>1102</v>
      </c>
      <c r="G31" s="7" t="s">
        <v>888</v>
      </c>
      <c r="H31" s="7" t="s">
        <v>1103</v>
      </c>
      <c r="I31" s="7" t="s">
        <v>187</v>
      </c>
      <c r="J31" s="7" t="s">
        <v>863</v>
      </c>
      <c r="K31" s="7" t="s">
        <v>1104</v>
      </c>
      <c r="L31" s="7" t="s">
        <v>187</v>
      </c>
      <c r="M31" s="7" t="s">
        <v>187</v>
      </c>
      <c r="N31" s="7" t="s">
        <v>187</v>
      </c>
      <c r="O31" s="7" t="s">
        <v>1105</v>
      </c>
      <c r="P31" s="7" t="s">
        <v>850</v>
      </c>
      <c r="Q31" s="7" t="s">
        <v>1085</v>
      </c>
      <c r="R31" s="7" t="s">
        <v>203</v>
      </c>
      <c r="S31" s="7" t="s">
        <v>1106</v>
      </c>
      <c r="T31" s="7" t="s">
        <v>1107</v>
      </c>
      <c r="U31" s="7" t="s">
        <v>1108</v>
      </c>
      <c r="V31" s="7" t="s">
        <v>1109</v>
      </c>
    </row>
    <row r="32" spans="1:22" ht="42" x14ac:dyDescent="0.2">
      <c r="A32" s="7" t="s">
        <v>372</v>
      </c>
      <c r="B32" s="7" t="s">
        <v>1110</v>
      </c>
      <c r="C32" s="7" t="s">
        <v>1111</v>
      </c>
      <c r="D32" s="7" t="s">
        <v>99</v>
      </c>
      <c r="E32" s="7" t="s">
        <v>346</v>
      </c>
      <c r="F32" s="7" t="s">
        <v>1112</v>
      </c>
      <c r="G32" s="7" t="s">
        <v>888</v>
      </c>
      <c r="H32" s="7" t="s">
        <v>187</v>
      </c>
      <c r="I32" s="7" t="s">
        <v>187</v>
      </c>
      <c r="J32" s="7" t="s">
        <v>187</v>
      </c>
      <c r="K32" s="7" t="s">
        <v>1113</v>
      </c>
      <c r="L32" s="7" t="s">
        <v>187</v>
      </c>
      <c r="M32" s="7" t="s">
        <v>187</v>
      </c>
      <c r="N32" s="7" t="s">
        <v>187</v>
      </c>
      <c r="O32" s="7" t="s">
        <v>1114</v>
      </c>
      <c r="P32" s="7" t="s">
        <v>850</v>
      </c>
      <c r="Q32" s="7" t="s">
        <v>1085</v>
      </c>
      <c r="R32" s="7" t="s">
        <v>1115</v>
      </c>
      <c r="S32" s="7" t="s">
        <v>1116</v>
      </c>
      <c r="T32" s="7" t="s">
        <v>1117</v>
      </c>
      <c r="U32" s="7" t="s">
        <v>1118</v>
      </c>
      <c r="V32" s="7" t="s">
        <v>924</v>
      </c>
    </row>
    <row r="33" spans="1:22" ht="56" x14ac:dyDescent="0.2">
      <c r="A33" s="7" t="s">
        <v>386</v>
      </c>
      <c r="B33" s="7" t="s">
        <v>1119</v>
      </c>
      <c r="C33" s="7" t="s">
        <v>1120</v>
      </c>
      <c r="D33" s="7" t="s">
        <v>1121</v>
      </c>
      <c r="E33" s="7" t="s">
        <v>393</v>
      </c>
      <c r="F33" s="7" t="s">
        <v>1122</v>
      </c>
      <c r="G33" s="7" t="s">
        <v>888</v>
      </c>
      <c r="H33" s="7" t="s">
        <v>187</v>
      </c>
      <c r="I33" s="7" t="s">
        <v>1123</v>
      </c>
      <c r="J33" s="7" t="s">
        <v>187</v>
      </c>
      <c r="K33" s="7" t="s">
        <v>1124</v>
      </c>
      <c r="L33" s="7" t="s">
        <v>380</v>
      </c>
      <c r="M33" s="7" t="s">
        <v>187</v>
      </c>
      <c r="N33" s="7" t="s">
        <v>187</v>
      </c>
      <c r="O33" s="7" t="s">
        <v>1125</v>
      </c>
      <c r="P33" s="7" t="s">
        <v>850</v>
      </c>
      <c r="Q33" s="7" t="s">
        <v>1126</v>
      </c>
      <c r="R33" s="7" t="s">
        <v>1127</v>
      </c>
      <c r="S33" s="7" t="s">
        <v>1128</v>
      </c>
      <c r="T33" s="7" t="s">
        <v>1129</v>
      </c>
      <c r="U33" s="7" t="s">
        <v>1130</v>
      </c>
      <c r="V33" s="7" t="s">
        <v>1131</v>
      </c>
    </row>
    <row r="34" spans="1:22" ht="56" x14ac:dyDescent="0.2">
      <c r="A34" s="7" t="s">
        <v>400</v>
      </c>
      <c r="B34" s="7" t="s">
        <v>1132</v>
      </c>
      <c r="C34" s="7" t="s">
        <v>1133</v>
      </c>
      <c r="D34" s="7" t="s">
        <v>1134</v>
      </c>
      <c r="E34" s="7" t="s">
        <v>991</v>
      </c>
      <c r="F34" s="7" t="s">
        <v>1135</v>
      </c>
      <c r="G34" s="7" t="s">
        <v>888</v>
      </c>
      <c r="H34" s="7" t="s">
        <v>843</v>
      </c>
      <c r="I34" s="7" t="s">
        <v>1136</v>
      </c>
      <c r="J34" s="7" t="s">
        <v>863</v>
      </c>
      <c r="K34" s="7" t="s">
        <v>1137</v>
      </c>
      <c r="L34" s="7" t="s">
        <v>1138</v>
      </c>
      <c r="M34" s="7" t="s">
        <v>1139</v>
      </c>
      <c r="N34" s="7" t="s">
        <v>187</v>
      </c>
      <c r="O34" s="7" t="s">
        <v>187</v>
      </c>
      <c r="P34" s="7" t="s">
        <v>850</v>
      </c>
      <c r="Q34" s="7" t="s">
        <v>1140</v>
      </c>
      <c r="R34" s="7" t="s">
        <v>1141</v>
      </c>
      <c r="S34" s="7" t="s">
        <v>1142</v>
      </c>
      <c r="T34" s="7" t="s">
        <v>1117</v>
      </c>
      <c r="U34" s="7" t="s">
        <v>1143</v>
      </c>
      <c r="V34" s="7" t="s">
        <v>1089</v>
      </c>
    </row>
    <row r="35" spans="1:22" ht="42" x14ac:dyDescent="0.2">
      <c r="A35" s="7" t="s">
        <v>400</v>
      </c>
      <c r="B35" s="7" t="s">
        <v>1144</v>
      </c>
      <c r="C35" s="7" t="s">
        <v>1145</v>
      </c>
      <c r="D35" s="7" t="s">
        <v>1146</v>
      </c>
      <c r="E35" s="7" t="s">
        <v>853</v>
      </c>
      <c r="F35" s="7" t="s">
        <v>1147</v>
      </c>
      <c r="G35" s="7" t="s">
        <v>888</v>
      </c>
      <c r="H35" s="7" t="s">
        <v>843</v>
      </c>
      <c r="I35" s="7" t="s">
        <v>1148</v>
      </c>
      <c r="J35" s="7" t="s">
        <v>863</v>
      </c>
      <c r="K35" s="7" t="s">
        <v>1149</v>
      </c>
      <c r="L35" s="7" t="s">
        <v>1150</v>
      </c>
      <c r="M35" s="7" t="s">
        <v>1151</v>
      </c>
      <c r="N35" s="7" t="s">
        <v>187</v>
      </c>
      <c r="O35" s="7" t="s">
        <v>187</v>
      </c>
      <c r="P35" s="7" t="s">
        <v>850</v>
      </c>
      <c r="Q35" s="7" t="s">
        <v>1152</v>
      </c>
      <c r="R35" s="7" t="s">
        <v>1153</v>
      </c>
      <c r="S35" s="7" t="s">
        <v>1154</v>
      </c>
      <c r="T35" s="7" t="s">
        <v>1032</v>
      </c>
      <c r="U35" s="7" t="s">
        <v>1155</v>
      </c>
      <c r="V35" s="7" t="s">
        <v>1089</v>
      </c>
    </row>
    <row r="36" spans="1:22" ht="56" x14ac:dyDescent="0.2">
      <c r="A36" s="7" t="s">
        <v>414</v>
      </c>
      <c r="B36" s="7" t="s">
        <v>1156</v>
      </c>
      <c r="C36" s="7" t="s">
        <v>1157</v>
      </c>
      <c r="D36" s="7" t="s">
        <v>99</v>
      </c>
      <c r="E36" s="7" t="s">
        <v>422</v>
      </c>
      <c r="F36" s="7" t="s">
        <v>187</v>
      </c>
      <c r="G36" s="7" t="s">
        <v>187</v>
      </c>
      <c r="H36" s="7" t="s">
        <v>187</v>
      </c>
      <c r="I36" s="7" t="s">
        <v>1158</v>
      </c>
      <c r="J36" s="7" t="s">
        <v>1159</v>
      </c>
      <c r="K36" s="7" t="s">
        <v>1160</v>
      </c>
      <c r="L36" s="7" t="s">
        <v>187</v>
      </c>
      <c r="M36" s="7" t="s">
        <v>187</v>
      </c>
      <c r="N36" s="7" t="s">
        <v>187</v>
      </c>
      <c r="O36" s="7" t="s">
        <v>1161</v>
      </c>
      <c r="P36" s="7" t="s">
        <v>850</v>
      </c>
      <c r="Q36" s="7" t="s">
        <v>1162</v>
      </c>
      <c r="R36" s="7" t="s">
        <v>187</v>
      </c>
      <c r="S36" s="7" t="s">
        <v>894</v>
      </c>
      <c r="T36" s="7" t="s">
        <v>1163</v>
      </c>
      <c r="U36" s="7" t="s">
        <v>1164</v>
      </c>
      <c r="V36" s="7" t="s">
        <v>1165</v>
      </c>
    </row>
    <row r="37" spans="1:22" ht="42" x14ac:dyDescent="0.2">
      <c r="A37" s="7" t="s">
        <v>429</v>
      </c>
      <c r="B37" s="7" t="s">
        <v>1166</v>
      </c>
      <c r="C37" s="7" t="s">
        <v>1167</v>
      </c>
      <c r="D37" s="7" t="s">
        <v>99</v>
      </c>
      <c r="E37" s="7" t="s">
        <v>435</v>
      </c>
      <c r="F37" s="7" t="s">
        <v>1168</v>
      </c>
      <c r="G37" s="7" t="s">
        <v>1169</v>
      </c>
      <c r="H37" s="7" t="s">
        <v>843</v>
      </c>
      <c r="I37" s="7" t="s">
        <v>187</v>
      </c>
      <c r="J37" s="7" t="s">
        <v>187</v>
      </c>
      <c r="K37" s="7" t="s">
        <v>1170</v>
      </c>
      <c r="L37" s="7" t="s">
        <v>187</v>
      </c>
      <c r="M37" s="7" t="s">
        <v>187</v>
      </c>
      <c r="N37" s="7" t="s">
        <v>187</v>
      </c>
      <c r="O37" s="7" t="s">
        <v>1171</v>
      </c>
      <c r="P37" s="7" t="s">
        <v>850</v>
      </c>
      <c r="Q37" s="7" t="s">
        <v>187</v>
      </c>
      <c r="R37" s="7" t="s">
        <v>1172</v>
      </c>
      <c r="S37" s="7" t="s">
        <v>1173</v>
      </c>
      <c r="T37" s="7" t="s">
        <v>187</v>
      </c>
      <c r="U37" s="7" t="s">
        <v>1174</v>
      </c>
      <c r="V37" s="7" t="s">
        <v>866</v>
      </c>
    </row>
    <row r="38" spans="1:22" ht="28" x14ac:dyDescent="0.2">
      <c r="A38" s="7" t="s">
        <v>429</v>
      </c>
      <c r="B38" s="7" t="s">
        <v>1175</v>
      </c>
      <c r="C38" s="7" t="s">
        <v>1176</v>
      </c>
      <c r="D38" s="7" t="s">
        <v>1177</v>
      </c>
      <c r="E38" s="7" t="s">
        <v>1074</v>
      </c>
      <c r="F38" s="7" t="s">
        <v>1178</v>
      </c>
      <c r="G38" s="7" t="s">
        <v>888</v>
      </c>
      <c r="H38" s="7" t="s">
        <v>187</v>
      </c>
      <c r="I38" s="7" t="s">
        <v>1179</v>
      </c>
      <c r="J38" s="7" t="s">
        <v>187</v>
      </c>
      <c r="K38" s="7" t="s">
        <v>1180</v>
      </c>
      <c r="L38" s="7" t="s">
        <v>187</v>
      </c>
      <c r="M38" s="7" t="s">
        <v>187</v>
      </c>
      <c r="N38" s="7" t="s">
        <v>187</v>
      </c>
      <c r="O38" s="7" t="s">
        <v>187</v>
      </c>
      <c r="P38" s="7" t="s">
        <v>850</v>
      </c>
      <c r="Q38" s="7" t="s">
        <v>187</v>
      </c>
      <c r="R38" s="7" t="s">
        <v>187</v>
      </c>
      <c r="S38" s="7" t="s">
        <v>187</v>
      </c>
      <c r="T38" s="7" t="s">
        <v>187</v>
      </c>
      <c r="U38" s="7" t="s">
        <v>1181</v>
      </c>
      <c r="V38" s="7" t="s">
        <v>1182</v>
      </c>
    </row>
    <row r="39" spans="1:22" ht="42" x14ac:dyDescent="0.2">
      <c r="A39" s="7" t="s">
        <v>429</v>
      </c>
      <c r="B39" s="7" t="s">
        <v>1183</v>
      </c>
      <c r="C39" s="7" t="s">
        <v>1184</v>
      </c>
      <c r="D39" s="7" t="s">
        <v>348</v>
      </c>
      <c r="E39" s="7" t="s">
        <v>1008</v>
      </c>
      <c r="F39" s="7" t="s">
        <v>1185</v>
      </c>
      <c r="G39" s="7" t="s">
        <v>919</v>
      </c>
      <c r="H39" s="7" t="s">
        <v>187</v>
      </c>
      <c r="I39" s="7" t="s">
        <v>187</v>
      </c>
      <c r="J39" s="7" t="s">
        <v>187</v>
      </c>
      <c r="K39" s="7" t="s">
        <v>1180</v>
      </c>
      <c r="L39" s="7" t="s">
        <v>187</v>
      </c>
      <c r="M39" s="7" t="s">
        <v>187</v>
      </c>
      <c r="N39" s="7" t="s">
        <v>187</v>
      </c>
      <c r="O39" s="7" t="s">
        <v>187</v>
      </c>
      <c r="P39" s="7" t="s">
        <v>850</v>
      </c>
      <c r="Q39" s="7" t="s">
        <v>187</v>
      </c>
      <c r="R39" s="7" t="s">
        <v>187</v>
      </c>
      <c r="S39" s="7" t="s">
        <v>187</v>
      </c>
      <c r="T39" s="7" t="s">
        <v>187</v>
      </c>
      <c r="U39" s="7" t="s">
        <v>1186</v>
      </c>
      <c r="V39" s="7" t="s">
        <v>1182</v>
      </c>
    </row>
    <row r="40" spans="1:22" ht="42" x14ac:dyDescent="0.2">
      <c r="A40" s="7" t="s">
        <v>429</v>
      </c>
      <c r="B40" s="7" t="s">
        <v>1187</v>
      </c>
      <c r="C40" s="7" t="s">
        <v>1188</v>
      </c>
      <c r="D40" s="7" t="s">
        <v>1189</v>
      </c>
      <c r="E40" s="7" t="s">
        <v>346</v>
      </c>
      <c r="F40" s="7" t="s">
        <v>1190</v>
      </c>
      <c r="G40" s="7" t="s">
        <v>888</v>
      </c>
      <c r="H40" s="7" t="s">
        <v>187</v>
      </c>
      <c r="I40" s="7" t="s">
        <v>187</v>
      </c>
      <c r="J40" s="7" t="s">
        <v>187</v>
      </c>
      <c r="K40" s="7" t="s">
        <v>1180</v>
      </c>
      <c r="L40" s="7" t="s">
        <v>187</v>
      </c>
      <c r="M40" s="7" t="s">
        <v>187</v>
      </c>
      <c r="N40" s="7" t="s">
        <v>187</v>
      </c>
      <c r="O40" s="7" t="s">
        <v>1191</v>
      </c>
      <c r="P40" s="7" t="s">
        <v>850</v>
      </c>
      <c r="Q40" s="7" t="s">
        <v>187</v>
      </c>
      <c r="R40" s="7" t="s">
        <v>187</v>
      </c>
      <c r="S40" s="7" t="s">
        <v>187</v>
      </c>
      <c r="T40" s="7" t="s">
        <v>187</v>
      </c>
      <c r="U40" s="7"/>
      <c r="V40" s="7" t="s">
        <v>1192</v>
      </c>
    </row>
    <row r="41" spans="1:22" ht="56" x14ac:dyDescent="0.2">
      <c r="A41" s="7" t="s">
        <v>429</v>
      </c>
      <c r="B41" s="7" t="s">
        <v>1193</v>
      </c>
      <c r="C41" s="7" t="s">
        <v>1194</v>
      </c>
      <c r="D41" s="7" t="s">
        <v>1195</v>
      </c>
      <c r="E41" s="7" t="s">
        <v>1008</v>
      </c>
      <c r="F41" s="7" t="s">
        <v>1196</v>
      </c>
      <c r="G41" s="7" t="s">
        <v>860</v>
      </c>
      <c r="H41" s="7" t="s">
        <v>187</v>
      </c>
      <c r="I41" s="7" t="s">
        <v>187</v>
      </c>
      <c r="J41" s="7" t="s">
        <v>187</v>
      </c>
      <c r="K41" s="7" t="s">
        <v>1180</v>
      </c>
      <c r="L41" s="7" t="s">
        <v>187</v>
      </c>
      <c r="M41" s="7" t="s">
        <v>187</v>
      </c>
      <c r="N41" s="7" t="s">
        <v>187</v>
      </c>
      <c r="O41" s="7" t="s">
        <v>187</v>
      </c>
      <c r="P41" s="7" t="s">
        <v>850</v>
      </c>
      <c r="Q41" s="7" t="s">
        <v>187</v>
      </c>
      <c r="R41" s="7" t="s">
        <v>187</v>
      </c>
      <c r="S41" s="7" t="s">
        <v>187</v>
      </c>
      <c r="T41" s="7" t="s">
        <v>187</v>
      </c>
      <c r="U41" s="7" t="s">
        <v>1197</v>
      </c>
      <c r="V41" s="7" t="s">
        <v>1182</v>
      </c>
    </row>
    <row r="42" spans="1:22" ht="42" x14ac:dyDescent="0.2">
      <c r="A42" s="7" t="s">
        <v>442</v>
      </c>
      <c r="B42" s="7" t="s">
        <v>1198</v>
      </c>
      <c r="C42" s="7" t="s">
        <v>1199</v>
      </c>
      <c r="D42" s="7" t="s">
        <v>99</v>
      </c>
      <c r="E42" s="7" t="s">
        <v>1200</v>
      </c>
      <c r="F42" s="7" t="s">
        <v>1201</v>
      </c>
      <c r="G42" s="7" t="s">
        <v>860</v>
      </c>
      <c r="H42" s="7" t="s">
        <v>1202</v>
      </c>
      <c r="I42" s="7" t="s">
        <v>187</v>
      </c>
      <c r="J42" s="7" t="s">
        <v>1203</v>
      </c>
      <c r="K42" s="7" t="s">
        <v>1204</v>
      </c>
      <c r="L42" s="7" t="s">
        <v>187</v>
      </c>
      <c r="M42" s="7" t="s">
        <v>1205</v>
      </c>
      <c r="N42" s="7" t="s">
        <v>187</v>
      </c>
      <c r="O42" s="7" t="s">
        <v>187</v>
      </c>
      <c r="P42" s="7" t="s">
        <v>850</v>
      </c>
      <c r="Q42" s="7" t="s">
        <v>863</v>
      </c>
      <c r="R42" s="7" t="s">
        <v>850</v>
      </c>
      <c r="S42" s="7" t="s">
        <v>187</v>
      </c>
      <c r="T42" s="7" t="s">
        <v>187</v>
      </c>
      <c r="U42" s="7" t="s">
        <v>1206</v>
      </c>
      <c r="V42" s="7" t="s">
        <v>866</v>
      </c>
    </row>
    <row r="43" spans="1:22" ht="42" x14ac:dyDescent="0.2">
      <c r="A43" s="7" t="s">
        <v>442</v>
      </c>
      <c r="B43" s="7" t="s">
        <v>1207</v>
      </c>
      <c r="C43" s="7" t="s">
        <v>1208</v>
      </c>
      <c r="D43" s="7" t="s">
        <v>1209</v>
      </c>
      <c r="E43" s="7" t="s">
        <v>542</v>
      </c>
      <c r="F43" s="7" t="s">
        <v>1210</v>
      </c>
      <c r="G43" s="7" t="s">
        <v>888</v>
      </c>
      <c r="H43" s="7" t="s">
        <v>1211</v>
      </c>
      <c r="I43" s="7" t="s">
        <v>187</v>
      </c>
      <c r="J43" s="7" t="s">
        <v>1203</v>
      </c>
      <c r="K43" s="7" t="s">
        <v>1204</v>
      </c>
      <c r="L43" s="7" t="s">
        <v>187</v>
      </c>
      <c r="M43" s="7" t="s">
        <v>1212</v>
      </c>
      <c r="N43" s="7" t="s">
        <v>187</v>
      </c>
      <c r="O43" s="7" t="s">
        <v>187</v>
      </c>
      <c r="P43" s="7" t="s">
        <v>850</v>
      </c>
      <c r="Q43" s="7" t="s">
        <v>863</v>
      </c>
      <c r="R43" s="7" t="s">
        <v>850</v>
      </c>
      <c r="S43" s="7" t="s">
        <v>187</v>
      </c>
      <c r="T43" s="7" t="s">
        <v>187</v>
      </c>
      <c r="U43" s="7" t="s">
        <v>1213</v>
      </c>
      <c r="V43" s="7" t="s">
        <v>866</v>
      </c>
    </row>
    <row r="44" spans="1:22" ht="56" x14ac:dyDescent="0.2">
      <c r="A44" s="7" t="s">
        <v>456</v>
      </c>
      <c r="B44" s="7" t="s">
        <v>1214</v>
      </c>
      <c r="C44" s="7" t="s">
        <v>1215</v>
      </c>
      <c r="D44" s="7" t="s">
        <v>253</v>
      </c>
      <c r="E44" s="7" t="s">
        <v>465</v>
      </c>
      <c r="F44" s="7" t="s">
        <v>1216</v>
      </c>
      <c r="G44" s="7" t="s">
        <v>888</v>
      </c>
      <c r="H44" s="7" t="s">
        <v>1217</v>
      </c>
      <c r="I44" s="7" t="s">
        <v>1218</v>
      </c>
      <c r="J44" s="7" t="s">
        <v>869</v>
      </c>
      <c r="K44" s="7" t="s">
        <v>1219</v>
      </c>
      <c r="L44" s="7" t="s">
        <v>869</v>
      </c>
      <c r="M44" s="7" t="s">
        <v>187</v>
      </c>
      <c r="N44" s="7" t="s">
        <v>187</v>
      </c>
      <c r="O44" s="7" t="s">
        <v>1220</v>
      </c>
      <c r="P44" s="7" t="s">
        <v>850</v>
      </c>
      <c r="Q44" s="7" t="s">
        <v>850</v>
      </c>
      <c r="R44" s="7" t="s">
        <v>1221</v>
      </c>
      <c r="S44" s="7" t="s">
        <v>1222</v>
      </c>
      <c r="T44" s="7" t="s">
        <v>1085</v>
      </c>
      <c r="U44" s="7" t="s">
        <v>1223</v>
      </c>
      <c r="V44" s="7" t="s">
        <v>1224</v>
      </c>
    </row>
    <row r="45" spans="1:22" ht="42" x14ac:dyDescent="0.2">
      <c r="A45" s="7" t="s">
        <v>472</v>
      </c>
      <c r="B45" s="7" t="s">
        <v>1225</v>
      </c>
      <c r="C45" s="7" t="s">
        <v>1226</v>
      </c>
      <c r="D45" s="7" t="s">
        <v>99</v>
      </c>
      <c r="E45" s="7" t="s">
        <v>203</v>
      </c>
      <c r="F45" s="7" t="s">
        <v>187</v>
      </c>
      <c r="G45" s="7" t="s">
        <v>187</v>
      </c>
      <c r="H45" s="7" t="s">
        <v>187</v>
      </c>
      <c r="I45" s="7" t="s">
        <v>187</v>
      </c>
      <c r="J45" s="7" t="s">
        <v>863</v>
      </c>
      <c r="K45" s="7" t="s">
        <v>1227</v>
      </c>
      <c r="L45" s="7" t="s">
        <v>187</v>
      </c>
      <c r="M45" s="7" t="s">
        <v>187</v>
      </c>
      <c r="N45" s="7" t="s">
        <v>187</v>
      </c>
      <c r="O45" s="7" t="s">
        <v>187</v>
      </c>
      <c r="P45" s="7" t="s">
        <v>850</v>
      </c>
      <c r="Q45" s="7" t="s">
        <v>187</v>
      </c>
      <c r="R45" s="7" t="s">
        <v>187</v>
      </c>
      <c r="S45" s="7" t="s">
        <v>187</v>
      </c>
      <c r="T45" s="7" t="s">
        <v>187</v>
      </c>
      <c r="U45" s="7" t="s">
        <v>1228</v>
      </c>
      <c r="V45" s="7" t="s">
        <v>1229</v>
      </c>
    </row>
    <row r="46" spans="1:22" ht="28" x14ac:dyDescent="0.2">
      <c r="A46" s="7" t="s">
        <v>472</v>
      </c>
      <c r="B46" s="7" t="s">
        <v>1230</v>
      </c>
      <c r="C46" s="7" t="s">
        <v>1231</v>
      </c>
      <c r="D46" s="7" t="s">
        <v>99</v>
      </c>
      <c r="E46" s="7" t="s">
        <v>999</v>
      </c>
      <c r="F46" s="7" t="s">
        <v>187</v>
      </c>
      <c r="G46" s="7" t="s">
        <v>187</v>
      </c>
      <c r="H46" s="7" t="s">
        <v>187</v>
      </c>
      <c r="I46" s="7" t="s">
        <v>187</v>
      </c>
      <c r="J46" s="7" t="s">
        <v>850</v>
      </c>
      <c r="K46" s="7" t="s">
        <v>1232</v>
      </c>
      <c r="L46" s="7" t="s">
        <v>187</v>
      </c>
      <c r="M46" s="7" t="s">
        <v>187</v>
      </c>
      <c r="N46" s="7" t="s">
        <v>187</v>
      </c>
      <c r="O46" s="7" t="s">
        <v>187</v>
      </c>
      <c r="P46" s="7" t="s">
        <v>850</v>
      </c>
      <c r="Q46" s="7" t="s">
        <v>187</v>
      </c>
      <c r="R46" s="7" t="s">
        <v>187</v>
      </c>
      <c r="S46" s="7" t="s">
        <v>187</v>
      </c>
      <c r="T46" s="7" t="s">
        <v>187</v>
      </c>
      <c r="U46" s="7" t="s">
        <v>1233</v>
      </c>
      <c r="V46" s="7" t="s">
        <v>1234</v>
      </c>
    </row>
    <row r="47" spans="1:22" ht="42" x14ac:dyDescent="0.2">
      <c r="A47" s="7" t="s">
        <v>486</v>
      </c>
      <c r="B47" s="7" t="s">
        <v>1235</v>
      </c>
      <c r="C47" s="7" t="s">
        <v>1236</v>
      </c>
      <c r="D47" s="7" t="s">
        <v>99</v>
      </c>
      <c r="E47" s="7" t="s">
        <v>1098</v>
      </c>
      <c r="F47" s="7" t="s">
        <v>1237</v>
      </c>
      <c r="G47" s="7" t="s">
        <v>187</v>
      </c>
      <c r="H47" s="7" t="s">
        <v>1238</v>
      </c>
      <c r="I47" s="7" t="s">
        <v>187</v>
      </c>
      <c r="J47" s="7" t="s">
        <v>187</v>
      </c>
      <c r="K47" s="7" t="s">
        <v>1239</v>
      </c>
      <c r="L47" s="7" t="s">
        <v>187</v>
      </c>
      <c r="M47" s="7" t="s">
        <v>187</v>
      </c>
      <c r="N47" s="7" t="s">
        <v>187</v>
      </c>
      <c r="O47" s="7" t="s">
        <v>187</v>
      </c>
      <c r="P47" s="7" t="s">
        <v>850</v>
      </c>
      <c r="Q47" s="7" t="s">
        <v>187</v>
      </c>
      <c r="R47" s="7" t="s">
        <v>1240</v>
      </c>
      <c r="S47" s="7" t="s">
        <v>1241</v>
      </c>
      <c r="T47" s="7" t="s">
        <v>1242</v>
      </c>
      <c r="U47" s="7" t="s">
        <v>1243</v>
      </c>
      <c r="V47" s="7" t="s">
        <v>1089</v>
      </c>
    </row>
    <row r="48" spans="1:22" ht="42" x14ac:dyDescent="0.2">
      <c r="A48" s="7" t="s">
        <v>486</v>
      </c>
      <c r="B48" s="7" t="s">
        <v>1244</v>
      </c>
      <c r="C48" s="7" t="s">
        <v>1245</v>
      </c>
      <c r="D48" s="7" t="s">
        <v>99</v>
      </c>
      <c r="E48" s="7" t="s">
        <v>1246</v>
      </c>
      <c r="F48" s="7" t="s">
        <v>1247</v>
      </c>
      <c r="G48" s="7" t="s">
        <v>187</v>
      </c>
      <c r="H48" s="7" t="s">
        <v>1238</v>
      </c>
      <c r="I48" s="7" t="s">
        <v>187</v>
      </c>
      <c r="J48" s="7" t="s">
        <v>187</v>
      </c>
      <c r="K48" s="7" t="s">
        <v>1239</v>
      </c>
      <c r="L48" s="7" t="s">
        <v>187</v>
      </c>
      <c r="M48" s="7" t="s">
        <v>187</v>
      </c>
      <c r="N48" s="7" t="s">
        <v>187</v>
      </c>
      <c r="O48" s="7" t="s">
        <v>187</v>
      </c>
      <c r="P48" s="7" t="s">
        <v>850</v>
      </c>
      <c r="Q48" s="7" t="s">
        <v>187</v>
      </c>
      <c r="R48" s="7" t="s">
        <v>1248</v>
      </c>
      <c r="S48" s="7" t="s">
        <v>1249</v>
      </c>
      <c r="T48" s="7" t="s">
        <v>1250</v>
      </c>
      <c r="U48" s="7" t="s">
        <v>1251</v>
      </c>
      <c r="V48" s="7" t="s">
        <v>1089</v>
      </c>
    </row>
    <row r="49" spans="1:22" ht="42" x14ac:dyDescent="0.2">
      <c r="A49" s="7" t="s">
        <v>501</v>
      </c>
      <c r="B49" s="7" t="s">
        <v>1235</v>
      </c>
      <c r="C49" s="7" t="s">
        <v>1236</v>
      </c>
      <c r="D49" s="7" t="s">
        <v>99</v>
      </c>
      <c r="E49" s="7" t="s">
        <v>1252</v>
      </c>
      <c r="F49" s="7" t="s">
        <v>1253</v>
      </c>
      <c r="G49" s="7" t="s">
        <v>1254</v>
      </c>
      <c r="H49" s="7" t="s">
        <v>1255</v>
      </c>
      <c r="I49" s="7" t="s">
        <v>187</v>
      </c>
      <c r="J49" s="7" t="s">
        <v>1256</v>
      </c>
      <c r="K49" s="7" t="s">
        <v>1257</v>
      </c>
      <c r="L49" s="7" t="s">
        <v>850</v>
      </c>
      <c r="M49" s="7" t="s">
        <v>187</v>
      </c>
      <c r="N49" s="7" t="s">
        <v>187</v>
      </c>
      <c r="O49" s="7" t="s">
        <v>187</v>
      </c>
      <c r="P49" s="7" t="s">
        <v>850</v>
      </c>
      <c r="Q49" s="7" t="s">
        <v>850</v>
      </c>
      <c r="R49" s="7" t="s">
        <v>850</v>
      </c>
      <c r="S49" s="7" t="s">
        <v>265</v>
      </c>
      <c r="T49" s="7" t="s">
        <v>1258</v>
      </c>
      <c r="U49" s="7" t="s">
        <v>1259</v>
      </c>
      <c r="V49" s="7" t="s">
        <v>1260</v>
      </c>
    </row>
    <row r="50" spans="1:22" ht="42" x14ac:dyDescent="0.2">
      <c r="A50" s="7" t="s">
        <v>501</v>
      </c>
      <c r="B50" s="7" t="s">
        <v>1244</v>
      </c>
      <c r="C50" s="7" t="s">
        <v>1245</v>
      </c>
      <c r="D50" s="7" t="s">
        <v>99</v>
      </c>
      <c r="E50" s="7" t="s">
        <v>927</v>
      </c>
      <c r="F50" s="7" t="s">
        <v>1261</v>
      </c>
      <c r="G50" s="7" t="s">
        <v>1262</v>
      </c>
      <c r="H50" s="7" t="s">
        <v>1263</v>
      </c>
      <c r="I50" s="7" t="s">
        <v>187</v>
      </c>
      <c r="J50" s="7" t="s">
        <v>1264</v>
      </c>
      <c r="K50" s="7" t="s">
        <v>1265</v>
      </c>
      <c r="L50" s="7" t="s">
        <v>1266</v>
      </c>
      <c r="M50" s="7" t="s">
        <v>187</v>
      </c>
      <c r="N50" s="7" t="s">
        <v>187</v>
      </c>
      <c r="O50" s="7" t="s">
        <v>187</v>
      </c>
      <c r="P50" s="7" t="s">
        <v>850</v>
      </c>
      <c r="Q50" s="7" t="s">
        <v>850</v>
      </c>
      <c r="R50" s="7" t="s">
        <v>1267</v>
      </c>
      <c r="S50" s="7" t="s">
        <v>1268</v>
      </c>
      <c r="T50" s="7" t="s">
        <v>1269</v>
      </c>
      <c r="U50" s="7" t="s">
        <v>1270</v>
      </c>
      <c r="V50" s="7" t="s">
        <v>1260</v>
      </c>
    </row>
    <row r="51" spans="1:22" ht="84" x14ac:dyDescent="0.2">
      <c r="A51" s="7" t="s">
        <v>516</v>
      </c>
      <c r="B51" s="7" t="s">
        <v>1271</v>
      </c>
      <c r="C51" s="7" t="s">
        <v>1272</v>
      </c>
      <c r="D51" s="7" t="s">
        <v>99</v>
      </c>
      <c r="E51" s="7" t="s">
        <v>526</v>
      </c>
      <c r="F51" s="7" t="s">
        <v>187</v>
      </c>
      <c r="G51" s="7" t="s">
        <v>1273</v>
      </c>
      <c r="H51" s="7" t="s">
        <v>1274</v>
      </c>
      <c r="I51" s="7" t="s">
        <v>187</v>
      </c>
      <c r="J51" s="7" t="s">
        <v>1275</v>
      </c>
      <c r="K51" s="7" t="s">
        <v>1276</v>
      </c>
      <c r="L51" s="7" t="s">
        <v>187</v>
      </c>
      <c r="M51" s="7" t="s">
        <v>187</v>
      </c>
      <c r="N51" s="7" t="s">
        <v>187</v>
      </c>
      <c r="O51" s="7" t="s">
        <v>187</v>
      </c>
      <c r="P51" s="7" t="s">
        <v>850</v>
      </c>
      <c r="Q51" s="7" t="s">
        <v>863</v>
      </c>
      <c r="R51" s="7" t="s">
        <v>850</v>
      </c>
      <c r="S51" s="7" t="s">
        <v>1277</v>
      </c>
      <c r="T51" s="7" t="s">
        <v>1278</v>
      </c>
      <c r="U51" s="7" t="s">
        <v>1279</v>
      </c>
      <c r="V51" s="7" t="s">
        <v>1280</v>
      </c>
    </row>
    <row r="52" spans="1:22" ht="56" x14ac:dyDescent="0.2">
      <c r="A52" s="7" t="s">
        <v>532</v>
      </c>
      <c r="B52" s="7" t="s">
        <v>1281</v>
      </c>
      <c r="C52" s="7" t="s">
        <v>1282</v>
      </c>
      <c r="D52" s="7" t="s">
        <v>253</v>
      </c>
      <c r="E52" s="7" t="s">
        <v>542</v>
      </c>
      <c r="F52" s="7" t="s">
        <v>187</v>
      </c>
      <c r="G52" s="7" t="s">
        <v>1283</v>
      </c>
      <c r="H52" s="7" t="s">
        <v>1284</v>
      </c>
      <c r="I52" s="7" t="s">
        <v>1285</v>
      </c>
      <c r="J52" s="7" t="s">
        <v>894</v>
      </c>
      <c r="K52" s="7" t="s">
        <v>1286</v>
      </c>
      <c r="L52" s="7" t="s">
        <v>863</v>
      </c>
      <c r="M52" s="7" t="s">
        <v>187</v>
      </c>
      <c r="N52" s="7" t="s">
        <v>187</v>
      </c>
      <c r="O52" s="7" t="s">
        <v>1287</v>
      </c>
      <c r="P52" s="7" t="s">
        <v>850</v>
      </c>
      <c r="Q52" s="7" t="s">
        <v>869</v>
      </c>
      <c r="R52" s="7" t="s">
        <v>203</v>
      </c>
      <c r="S52" s="7" t="s">
        <v>1288</v>
      </c>
      <c r="T52" s="7" t="s">
        <v>863</v>
      </c>
      <c r="U52" s="7" t="s">
        <v>1289</v>
      </c>
      <c r="V52" s="7" t="s">
        <v>1290</v>
      </c>
    </row>
    <row r="53" spans="1:22" ht="42" x14ac:dyDescent="0.2">
      <c r="A53" s="7" t="s">
        <v>548</v>
      </c>
      <c r="B53" s="7" t="s">
        <v>1291</v>
      </c>
      <c r="C53" s="7" t="s">
        <v>1292</v>
      </c>
      <c r="D53" s="7" t="s">
        <v>99</v>
      </c>
      <c r="E53" s="7" t="s">
        <v>346</v>
      </c>
      <c r="F53" s="7" t="s">
        <v>187</v>
      </c>
      <c r="G53" s="7" t="s">
        <v>187</v>
      </c>
      <c r="H53" s="7" t="s">
        <v>1293</v>
      </c>
      <c r="I53" s="7" t="s">
        <v>1294</v>
      </c>
      <c r="J53" s="7" t="s">
        <v>1295</v>
      </c>
      <c r="K53" s="7" t="s">
        <v>1296</v>
      </c>
      <c r="L53" s="7" t="s">
        <v>850</v>
      </c>
      <c r="M53" s="7" t="s">
        <v>187</v>
      </c>
      <c r="N53" s="7" t="s">
        <v>187</v>
      </c>
      <c r="O53" s="7" t="s">
        <v>187</v>
      </c>
      <c r="P53" s="7" t="s">
        <v>850</v>
      </c>
      <c r="Q53" s="7" t="s">
        <v>187</v>
      </c>
      <c r="R53" s="7" t="s">
        <v>1297</v>
      </c>
      <c r="S53" s="7" t="s">
        <v>1298</v>
      </c>
      <c r="T53" s="7" t="s">
        <v>1299</v>
      </c>
      <c r="U53" s="7" t="s">
        <v>1300</v>
      </c>
      <c r="V53" s="7" t="s">
        <v>1301</v>
      </c>
    </row>
    <row r="54" spans="1:22" ht="56" x14ac:dyDescent="0.2">
      <c r="A54" s="7" t="s">
        <v>548</v>
      </c>
      <c r="B54" s="7" t="s">
        <v>1302</v>
      </c>
      <c r="C54" s="7" t="s">
        <v>1282</v>
      </c>
      <c r="D54" s="7" t="s">
        <v>253</v>
      </c>
      <c r="E54" s="7" t="s">
        <v>1074</v>
      </c>
      <c r="F54" s="7" t="s">
        <v>187</v>
      </c>
      <c r="G54" s="7" t="s">
        <v>187</v>
      </c>
      <c r="H54" s="7" t="s">
        <v>187</v>
      </c>
      <c r="I54" s="7" t="s">
        <v>187</v>
      </c>
      <c r="J54" s="7" t="s">
        <v>187</v>
      </c>
      <c r="K54" s="7" t="s">
        <v>187</v>
      </c>
      <c r="L54" s="7" t="s">
        <v>187</v>
      </c>
      <c r="M54" s="7" t="s">
        <v>187</v>
      </c>
      <c r="N54" s="7" t="s">
        <v>187</v>
      </c>
      <c r="O54" s="7" t="s">
        <v>187</v>
      </c>
      <c r="P54" s="7" t="s">
        <v>850</v>
      </c>
      <c r="Q54" s="7" t="s">
        <v>187</v>
      </c>
      <c r="R54" s="7" t="s">
        <v>187</v>
      </c>
      <c r="S54" s="7" t="s">
        <v>187</v>
      </c>
      <c r="T54" s="7" t="s">
        <v>187</v>
      </c>
      <c r="U54" s="7" t="s">
        <v>1303</v>
      </c>
      <c r="V54" s="7" t="s">
        <v>1304</v>
      </c>
    </row>
    <row r="55" spans="1:22" ht="70" x14ac:dyDescent="0.2">
      <c r="A55" s="7" t="s">
        <v>563</v>
      </c>
      <c r="B55" s="7" t="s">
        <v>1305</v>
      </c>
      <c r="C55" s="7" t="s">
        <v>1306</v>
      </c>
      <c r="D55" s="7" t="s">
        <v>99</v>
      </c>
      <c r="E55" s="7" t="s">
        <v>572</v>
      </c>
      <c r="F55" s="7" t="s">
        <v>1307</v>
      </c>
      <c r="G55" s="7" t="s">
        <v>187</v>
      </c>
      <c r="H55" s="7" t="s">
        <v>1308</v>
      </c>
      <c r="I55" s="7" t="s">
        <v>187</v>
      </c>
      <c r="J55" s="7" t="s">
        <v>1309</v>
      </c>
      <c r="K55" s="7" t="s">
        <v>1310</v>
      </c>
      <c r="L55" s="7" t="s">
        <v>1311</v>
      </c>
      <c r="M55" s="7" t="s">
        <v>187</v>
      </c>
      <c r="N55" s="7" t="s">
        <v>187</v>
      </c>
      <c r="O55" s="7" t="s">
        <v>187</v>
      </c>
      <c r="P55" s="7" t="s">
        <v>850</v>
      </c>
      <c r="Q55" s="7" t="s">
        <v>1312</v>
      </c>
      <c r="R55" s="7" t="s">
        <v>1313</v>
      </c>
      <c r="S55" s="7" t="s">
        <v>1314</v>
      </c>
      <c r="T55" s="7" t="s">
        <v>1315</v>
      </c>
      <c r="U55" s="7" t="s">
        <v>1316</v>
      </c>
      <c r="V55" s="7" t="s">
        <v>866</v>
      </c>
    </row>
    <row r="56" spans="1:22" ht="42" x14ac:dyDescent="0.2">
      <c r="A56" s="7" t="s">
        <v>578</v>
      </c>
      <c r="B56" s="7" t="s">
        <v>1317</v>
      </c>
      <c r="C56" s="7" t="s">
        <v>1318</v>
      </c>
      <c r="D56" s="7" t="s">
        <v>99</v>
      </c>
      <c r="E56" s="7" t="s">
        <v>843</v>
      </c>
      <c r="F56" s="7" t="s">
        <v>187</v>
      </c>
      <c r="G56" s="7" t="s">
        <v>187</v>
      </c>
      <c r="H56" s="7" t="s">
        <v>1319</v>
      </c>
      <c r="I56" s="7" t="s">
        <v>1320</v>
      </c>
      <c r="J56" s="7" t="s">
        <v>1321</v>
      </c>
      <c r="K56" s="7" t="s">
        <v>1322</v>
      </c>
      <c r="L56" s="7" t="s">
        <v>1323</v>
      </c>
      <c r="M56" s="7" t="s">
        <v>1324</v>
      </c>
      <c r="N56" s="7" t="s">
        <v>187</v>
      </c>
      <c r="O56" s="7" t="s">
        <v>1325</v>
      </c>
      <c r="P56" s="7" t="s">
        <v>850</v>
      </c>
      <c r="Q56" s="7" t="s">
        <v>1326</v>
      </c>
      <c r="R56" s="7" t="s">
        <v>187</v>
      </c>
      <c r="S56" s="7" t="s">
        <v>1327</v>
      </c>
      <c r="T56" s="7" t="s">
        <v>1140</v>
      </c>
      <c r="U56" s="7" t="s">
        <v>1328</v>
      </c>
      <c r="V56" s="7" t="s">
        <v>1089</v>
      </c>
    </row>
    <row r="57" spans="1:22" ht="70" x14ac:dyDescent="0.2">
      <c r="A57" s="7" t="s">
        <v>578</v>
      </c>
      <c r="B57" s="7" t="s">
        <v>1329</v>
      </c>
      <c r="C57" s="7" t="s">
        <v>1330</v>
      </c>
      <c r="D57" s="7" t="s">
        <v>253</v>
      </c>
      <c r="E57" s="7" t="s">
        <v>1331</v>
      </c>
      <c r="F57" s="7" t="s">
        <v>187</v>
      </c>
      <c r="G57" s="7" t="s">
        <v>187</v>
      </c>
      <c r="H57" s="7" t="s">
        <v>1332</v>
      </c>
      <c r="I57" s="7" t="s">
        <v>1333</v>
      </c>
      <c r="J57" s="7" t="s">
        <v>1334</v>
      </c>
      <c r="K57" s="7" t="s">
        <v>1322</v>
      </c>
      <c r="L57" s="7" t="s">
        <v>1335</v>
      </c>
      <c r="M57" s="7" t="s">
        <v>1336</v>
      </c>
      <c r="N57" s="7" t="s">
        <v>187</v>
      </c>
      <c r="O57" s="7" t="s">
        <v>1337</v>
      </c>
      <c r="P57" s="7" t="s">
        <v>850</v>
      </c>
      <c r="Q57" s="7" t="s">
        <v>1338</v>
      </c>
      <c r="R57" s="7" t="s">
        <v>187</v>
      </c>
      <c r="S57" s="7" t="s">
        <v>1339</v>
      </c>
      <c r="T57" s="7" t="s">
        <v>1340</v>
      </c>
      <c r="U57" s="7" t="s">
        <v>1341</v>
      </c>
      <c r="V57" s="7" t="s">
        <v>1089</v>
      </c>
    </row>
    <row r="58" spans="1:22" ht="70" x14ac:dyDescent="0.2">
      <c r="A58" s="7" t="s">
        <v>578</v>
      </c>
      <c r="B58" s="7" t="s">
        <v>1342</v>
      </c>
      <c r="C58" s="7" t="s">
        <v>1343</v>
      </c>
      <c r="D58" s="7" t="s">
        <v>1344</v>
      </c>
      <c r="E58" s="7" t="s">
        <v>927</v>
      </c>
      <c r="F58" s="7" t="s">
        <v>187</v>
      </c>
      <c r="G58" s="7" t="s">
        <v>187</v>
      </c>
      <c r="H58" s="7" t="s">
        <v>1345</v>
      </c>
      <c r="I58" s="7" t="s">
        <v>1346</v>
      </c>
      <c r="J58" s="7" t="s">
        <v>1347</v>
      </c>
      <c r="K58" s="7" t="s">
        <v>1322</v>
      </c>
      <c r="L58" s="7" t="s">
        <v>1348</v>
      </c>
      <c r="M58" s="7" t="s">
        <v>1349</v>
      </c>
      <c r="N58" s="7" t="s">
        <v>187</v>
      </c>
      <c r="O58" s="7" t="s">
        <v>1350</v>
      </c>
      <c r="P58" s="7" t="s">
        <v>850</v>
      </c>
      <c r="Q58" s="7" t="s">
        <v>1351</v>
      </c>
      <c r="R58" s="7" t="s">
        <v>187</v>
      </c>
      <c r="S58" s="7" t="s">
        <v>1352</v>
      </c>
      <c r="T58" s="7" t="s">
        <v>1353</v>
      </c>
      <c r="U58" s="7" t="s">
        <v>1354</v>
      </c>
      <c r="V58" s="7" t="s">
        <v>1089</v>
      </c>
    </row>
    <row r="59" spans="1:22" x14ac:dyDescent="0.2">
      <c r="A59" s="7" t="s">
        <v>593</v>
      </c>
      <c r="B59" s="7" t="s">
        <v>1355</v>
      </c>
      <c r="C59" s="7" t="s">
        <v>1356</v>
      </c>
      <c r="D59" s="7" t="s">
        <v>99</v>
      </c>
      <c r="E59" s="7" t="s">
        <v>883</v>
      </c>
      <c r="F59" s="7" t="s">
        <v>1357</v>
      </c>
      <c r="G59" s="7" t="s">
        <v>187</v>
      </c>
      <c r="H59" s="7" t="s">
        <v>187</v>
      </c>
      <c r="I59" s="7" t="s">
        <v>187</v>
      </c>
      <c r="J59" s="7" t="s">
        <v>187</v>
      </c>
      <c r="K59" s="7" t="s">
        <v>187</v>
      </c>
      <c r="L59" s="7" t="s">
        <v>1358</v>
      </c>
      <c r="M59" s="7" t="s">
        <v>187</v>
      </c>
      <c r="N59" s="7" t="s">
        <v>187</v>
      </c>
      <c r="O59" s="7" t="s">
        <v>187</v>
      </c>
      <c r="P59" s="7" t="s">
        <v>850</v>
      </c>
      <c r="Q59" s="7" t="s">
        <v>187</v>
      </c>
      <c r="R59" s="7" t="s">
        <v>187</v>
      </c>
      <c r="S59" s="7" t="s">
        <v>1359</v>
      </c>
      <c r="T59" s="7" t="s">
        <v>1360</v>
      </c>
      <c r="U59" s="7" t="s">
        <v>1361</v>
      </c>
      <c r="V59" s="7" t="s">
        <v>981</v>
      </c>
    </row>
    <row r="60" spans="1:22" ht="28" x14ac:dyDescent="0.2">
      <c r="A60" s="7" t="s">
        <v>593</v>
      </c>
      <c r="B60" s="7" t="s">
        <v>1362</v>
      </c>
      <c r="C60" s="7" t="s">
        <v>1363</v>
      </c>
      <c r="D60" s="7" t="s">
        <v>253</v>
      </c>
      <c r="E60" s="7" t="s">
        <v>1018</v>
      </c>
      <c r="F60" s="7" t="s">
        <v>1364</v>
      </c>
      <c r="G60" s="7" t="s">
        <v>187</v>
      </c>
      <c r="H60" s="7" t="s">
        <v>187</v>
      </c>
      <c r="I60" s="7" t="s">
        <v>187</v>
      </c>
      <c r="J60" s="7" t="s">
        <v>187</v>
      </c>
      <c r="K60" s="7" t="s">
        <v>187</v>
      </c>
      <c r="L60" s="7" t="s">
        <v>1365</v>
      </c>
      <c r="M60" s="7" t="s">
        <v>187</v>
      </c>
      <c r="N60" s="7" t="s">
        <v>187</v>
      </c>
      <c r="O60" s="7" t="s">
        <v>187</v>
      </c>
      <c r="P60" s="7" t="s">
        <v>850</v>
      </c>
      <c r="Q60" s="7" t="s">
        <v>187</v>
      </c>
      <c r="R60" s="7" t="s">
        <v>187</v>
      </c>
      <c r="S60" s="7" t="s">
        <v>1366</v>
      </c>
      <c r="T60" s="7" t="s">
        <v>1367</v>
      </c>
      <c r="U60" s="7" t="s">
        <v>1368</v>
      </c>
      <c r="V60" s="7" t="s">
        <v>981</v>
      </c>
    </row>
    <row r="61" spans="1:22" ht="28" x14ac:dyDescent="0.2">
      <c r="A61" s="7" t="s">
        <v>593</v>
      </c>
      <c r="B61" s="7" t="s">
        <v>1369</v>
      </c>
      <c r="C61" s="7" t="s">
        <v>1370</v>
      </c>
      <c r="D61" s="7" t="s">
        <v>1371</v>
      </c>
      <c r="E61" s="7" t="s">
        <v>1372</v>
      </c>
      <c r="F61" s="7" t="s">
        <v>1373</v>
      </c>
      <c r="G61" s="7" t="s">
        <v>187</v>
      </c>
      <c r="H61" s="7" t="s">
        <v>187</v>
      </c>
      <c r="I61" s="7" t="s">
        <v>187</v>
      </c>
      <c r="J61" s="7" t="s">
        <v>187</v>
      </c>
      <c r="K61" s="7" t="s">
        <v>187</v>
      </c>
      <c r="L61" s="7" t="s">
        <v>1374</v>
      </c>
      <c r="M61" s="7" t="s">
        <v>187</v>
      </c>
      <c r="N61" s="7" t="s">
        <v>187</v>
      </c>
      <c r="O61" s="7" t="s">
        <v>187</v>
      </c>
      <c r="P61" s="7" t="s">
        <v>850</v>
      </c>
      <c r="Q61" s="7" t="s">
        <v>187</v>
      </c>
      <c r="R61" s="7" t="s">
        <v>187</v>
      </c>
      <c r="S61" s="7" t="s">
        <v>1375</v>
      </c>
      <c r="T61" s="7" t="s">
        <v>1376</v>
      </c>
      <c r="U61" s="7" t="s">
        <v>1377</v>
      </c>
      <c r="V61" s="7" t="s">
        <v>981</v>
      </c>
    </row>
    <row r="62" spans="1:22" ht="42" x14ac:dyDescent="0.2">
      <c r="A62" s="7" t="s">
        <v>607</v>
      </c>
      <c r="B62" s="7" t="s">
        <v>1378</v>
      </c>
      <c r="C62" s="7" t="s">
        <v>1379</v>
      </c>
      <c r="D62" s="7" t="s">
        <v>1380</v>
      </c>
      <c r="E62" s="7" t="s">
        <v>1381</v>
      </c>
      <c r="F62" s="7" t="s">
        <v>1232</v>
      </c>
      <c r="G62" s="7" t="s">
        <v>1232</v>
      </c>
      <c r="H62" s="7" t="s">
        <v>187</v>
      </c>
      <c r="I62" s="7" t="s">
        <v>1382</v>
      </c>
      <c r="J62" s="7" t="s">
        <v>850</v>
      </c>
      <c r="K62" s="7" t="s">
        <v>1383</v>
      </c>
      <c r="L62" s="7" t="s">
        <v>1384</v>
      </c>
      <c r="M62" s="7" t="s">
        <v>187</v>
      </c>
      <c r="N62" s="7" t="s">
        <v>187</v>
      </c>
      <c r="O62" s="7" t="s">
        <v>187</v>
      </c>
      <c r="P62" s="7" t="s">
        <v>850</v>
      </c>
      <c r="Q62" s="7" t="s">
        <v>1385</v>
      </c>
      <c r="R62" s="7" t="s">
        <v>1386</v>
      </c>
      <c r="S62" s="7" t="s">
        <v>702</v>
      </c>
      <c r="T62" s="7" t="s">
        <v>1076</v>
      </c>
      <c r="U62" s="7" t="s">
        <v>1387</v>
      </c>
      <c r="V62" s="7" t="s">
        <v>1388</v>
      </c>
    </row>
    <row r="63" spans="1:22" ht="56" x14ac:dyDescent="0.2">
      <c r="A63" s="7" t="s">
        <v>607</v>
      </c>
      <c r="B63" s="7" t="s">
        <v>1389</v>
      </c>
      <c r="C63" s="7" t="s">
        <v>1390</v>
      </c>
      <c r="D63" s="7" t="s">
        <v>1391</v>
      </c>
      <c r="E63" s="7" t="s">
        <v>1392</v>
      </c>
      <c r="F63" s="7" t="s">
        <v>1393</v>
      </c>
      <c r="G63" s="7" t="s">
        <v>187</v>
      </c>
      <c r="H63" s="7" t="s">
        <v>843</v>
      </c>
      <c r="I63" s="7" t="s">
        <v>1382</v>
      </c>
      <c r="J63" s="7" t="s">
        <v>863</v>
      </c>
      <c r="K63" s="7" t="s">
        <v>1394</v>
      </c>
      <c r="L63" s="7" t="s">
        <v>1395</v>
      </c>
      <c r="M63" s="7" t="s">
        <v>187</v>
      </c>
      <c r="N63" s="7" t="s">
        <v>187</v>
      </c>
      <c r="O63" s="7" t="s">
        <v>187</v>
      </c>
      <c r="P63" s="7" t="s">
        <v>850</v>
      </c>
      <c r="Q63" s="7" t="s">
        <v>1395</v>
      </c>
      <c r="R63" s="7" t="s">
        <v>1395</v>
      </c>
      <c r="S63" s="7" t="s">
        <v>1107</v>
      </c>
      <c r="T63" s="7" t="s">
        <v>1396</v>
      </c>
      <c r="U63" s="7" t="s">
        <v>1387</v>
      </c>
      <c r="V63" s="7" t="s">
        <v>1388</v>
      </c>
    </row>
    <row r="64" spans="1:22" ht="56" x14ac:dyDescent="0.2">
      <c r="A64" s="7" t="s">
        <v>622</v>
      </c>
      <c r="B64" s="7" t="s">
        <v>1397</v>
      </c>
      <c r="C64" s="7" t="s">
        <v>1398</v>
      </c>
      <c r="D64" s="7" t="s">
        <v>99</v>
      </c>
      <c r="E64" s="7" t="s">
        <v>632</v>
      </c>
      <c r="F64" s="7" t="s">
        <v>1399</v>
      </c>
      <c r="G64" s="7" t="s">
        <v>187</v>
      </c>
      <c r="H64" s="7" t="s">
        <v>187</v>
      </c>
      <c r="I64" s="7" t="s">
        <v>187</v>
      </c>
      <c r="J64" s="7" t="s">
        <v>187</v>
      </c>
      <c r="K64" s="7" t="s">
        <v>187</v>
      </c>
      <c r="L64" s="7" t="s">
        <v>1400</v>
      </c>
      <c r="M64" s="7" t="s">
        <v>187</v>
      </c>
      <c r="N64" s="7" t="s">
        <v>187</v>
      </c>
      <c r="O64" s="7" t="s">
        <v>187</v>
      </c>
      <c r="P64" s="7" t="s">
        <v>1066</v>
      </c>
      <c r="Q64" s="7" t="s">
        <v>1401</v>
      </c>
      <c r="R64" s="7" t="s">
        <v>1150</v>
      </c>
      <c r="S64" s="7" t="s">
        <v>1402</v>
      </c>
      <c r="T64" s="7" t="s">
        <v>1403</v>
      </c>
      <c r="U64" s="7" t="s">
        <v>1404</v>
      </c>
      <c r="V64" s="7" t="s">
        <v>866</v>
      </c>
    </row>
    <row r="65" spans="1:22" ht="28" x14ac:dyDescent="0.2">
      <c r="A65" s="7" t="s">
        <v>638</v>
      </c>
      <c r="B65" s="7" t="s">
        <v>1405</v>
      </c>
      <c r="C65" s="7" t="s">
        <v>1406</v>
      </c>
      <c r="D65" s="7" t="s">
        <v>99</v>
      </c>
      <c r="E65" s="7" t="s">
        <v>1407</v>
      </c>
      <c r="F65" s="7" t="s">
        <v>1408</v>
      </c>
      <c r="G65" s="7" t="s">
        <v>187</v>
      </c>
      <c r="H65" s="7" t="s">
        <v>187</v>
      </c>
      <c r="I65" s="7" t="s">
        <v>187</v>
      </c>
      <c r="J65" s="7" t="s">
        <v>1409</v>
      </c>
      <c r="K65" s="7" t="s">
        <v>1410</v>
      </c>
      <c r="L65" s="7" t="s">
        <v>1411</v>
      </c>
      <c r="M65" s="7" t="s">
        <v>187</v>
      </c>
      <c r="N65" s="7" t="s">
        <v>187</v>
      </c>
      <c r="O65" s="7" t="s">
        <v>187</v>
      </c>
      <c r="P65" s="7" t="s">
        <v>850</v>
      </c>
      <c r="Q65" s="7" t="s">
        <v>1412</v>
      </c>
      <c r="R65" s="7" t="s">
        <v>1413</v>
      </c>
      <c r="S65" s="7" t="s">
        <v>1414</v>
      </c>
      <c r="T65" s="7" t="s">
        <v>1415</v>
      </c>
      <c r="U65" s="7"/>
      <c r="V65" s="7" t="s">
        <v>924</v>
      </c>
    </row>
    <row r="66" spans="1:22" ht="28" x14ac:dyDescent="0.2">
      <c r="A66" s="7" t="s">
        <v>638</v>
      </c>
      <c r="B66" s="7" t="s">
        <v>1416</v>
      </c>
      <c r="C66" s="7" t="s">
        <v>1417</v>
      </c>
      <c r="D66" s="7" t="s">
        <v>99</v>
      </c>
      <c r="E66" s="7" t="s">
        <v>1418</v>
      </c>
      <c r="F66" s="7" t="s">
        <v>1419</v>
      </c>
      <c r="G66" s="7" t="s">
        <v>187</v>
      </c>
      <c r="H66" s="7" t="s">
        <v>187</v>
      </c>
      <c r="I66" s="7" t="s">
        <v>187</v>
      </c>
      <c r="J66" s="7" t="s">
        <v>1420</v>
      </c>
      <c r="K66" s="7" t="s">
        <v>1410</v>
      </c>
      <c r="L66" s="7" t="s">
        <v>1421</v>
      </c>
      <c r="M66" s="7" t="s">
        <v>187</v>
      </c>
      <c r="N66" s="7" t="s">
        <v>187</v>
      </c>
      <c r="O66" s="7" t="s">
        <v>187</v>
      </c>
      <c r="P66" s="7" t="s">
        <v>850</v>
      </c>
      <c r="Q66" s="7" t="s">
        <v>1422</v>
      </c>
      <c r="R66" s="7" t="s">
        <v>1423</v>
      </c>
      <c r="S66" s="7" t="s">
        <v>1424</v>
      </c>
      <c r="T66" s="7" t="s">
        <v>1425</v>
      </c>
      <c r="U66" s="7"/>
      <c r="V66" s="7" t="s">
        <v>924</v>
      </c>
    </row>
    <row r="67" spans="1:22" ht="28" x14ac:dyDescent="0.2">
      <c r="A67" s="7" t="s">
        <v>654</v>
      </c>
      <c r="B67" s="7" t="s">
        <v>1426</v>
      </c>
      <c r="C67" s="7" t="s">
        <v>1199</v>
      </c>
      <c r="D67" s="7" t="s">
        <v>99</v>
      </c>
      <c r="E67" s="7" t="s">
        <v>1427</v>
      </c>
      <c r="F67" s="7" t="s">
        <v>1428</v>
      </c>
      <c r="G67" s="7" t="s">
        <v>187</v>
      </c>
      <c r="H67" s="7" t="s">
        <v>187</v>
      </c>
      <c r="I67" s="7" t="s">
        <v>187</v>
      </c>
      <c r="J67" s="7" t="s">
        <v>1429</v>
      </c>
      <c r="K67" s="7" t="s">
        <v>1410</v>
      </c>
      <c r="L67" s="7" t="s">
        <v>1430</v>
      </c>
      <c r="M67" s="7" t="s">
        <v>187</v>
      </c>
      <c r="N67" s="7" t="s">
        <v>187</v>
      </c>
      <c r="O67" s="7" t="s">
        <v>187</v>
      </c>
      <c r="P67" s="7" t="s">
        <v>850</v>
      </c>
      <c r="Q67" s="7" t="s">
        <v>1431</v>
      </c>
      <c r="R67" s="7" t="s">
        <v>1432</v>
      </c>
      <c r="S67" s="7" t="s">
        <v>1433</v>
      </c>
      <c r="T67" s="7" t="s">
        <v>1434</v>
      </c>
      <c r="U67" s="7"/>
      <c r="V67" s="7" t="s">
        <v>924</v>
      </c>
    </row>
    <row r="68" spans="1:22" ht="70" x14ac:dyDescent="0.2">
      <c r="A68" s="7" t="s">
        <v>654</v>
      </c>
      <c r="B68" s="7" t="s">
        <v>1435</v>
      </c>
      <c r="C68" s="7" t="s">
        <v>1436</v>
      </c>
      <c r="D68" s="7" t="s">
        <v>1209</v>
      </c>
      <c r="E68" s="7" t="s">
        <v>716</v>
      </c>
      <c r="F68" s="7" t="s">
        <v>1437</v>
      </c>
      <c r="G68" s="7" t="s">
        <v>888</v>
      </c>
      <c r="H68" s="7" t="s">
        <v>187</v>
      </c>
      <c r="I68" s="7" t="s">
        <v>1438</v>
      </c>
      <c r="J68" s="7" t="s">
        <v>1403</v>
      </c>
      <c r="K68" s="7" t="s">
        <v>1410</v>
      </c>
      <c r="L68" s="7" t="s">
        <v>1439</v>
      </c>
      <c r="M68" s="7" t="s">
        <v>187</v>
      </c>
      <c r="N68" s="7" t="s">
        <v>187</v>
      </c>
      <c r="O68" s="7" t="s">
        <v>187</v>
      </c>
      <c r="P68" s="7" t="s">
        <v>850</v>
      </c>
      <c r="Q68" s="7" t="s">
        <v>881</v>
      </c>
      <c r="R68" s="7" t="s">
        <v>1440</v>
      </c>
      <c r="S68" s="7" t="s">
        <v>1441</v>
      </c>
      <c r="T68" s="7" t="s">
        <v>1442</v>
      </c>
      <c r="U68" s="7"/>
      <c r="V68" s="7" t="s">
        <v>924</v>
      </c>
    </row>
    <row r="69" spans="1:22" ht="42" x14ac:dyDescent="0.2">
      <c r="A69" s="7" t="s">
        <v>665</v>
      </c>
      <c r="B69" s="7" t="s">
        <v>1443</v>
      </c>
      <c r="C69" s="7" t="s">
        <v>1199</v>
      </c>
      <c r="D69" s="7" t="s">
        <v>99</v>
      </c>
      <c r="E69" s="7" t="s">
        <v>1444</v>
      </c>
      <c r="F69" s="7" t="s">
        <v>1445</v>
      </c>
      <c r="G69" s="7" t="s">
        <v>1446</v>
      </c>
      <c r="H69" s="7" t="s">
        <v>187</v>
      </c>
      <c r="I69" s="7" t="s">
        <v>187</v>
      </c>
      <c r="J69" s="7" t="s">
        <v>1447</v>
      </c>
      <c r="K69" s="7" t="s">
        <v>1410</v>
      </c>
      <c r="L69" s="7" t="s">
        <v>1448</v>
      </c>
      <c r="M69" s="7" t="s">
        <v>187</v>
      </c>
      <c r="N69" s="7" t="s">
        <v>187</v>
      </c>
      <c r="O69" s="7" t="s">
        <v>187</v>
      </c>
      <c r="P69" s="7" t="s">
        <v>850</v>
      </c>
      <c r="Q69" s="7" t="s">
        <v>1449</v>
      </c>
      <c r="R69" s="7" t="s">
        <v>1450</v>
      </c>
      <c r="S69" s="7" t="s">
        <v>1451</v>
      </c>
      <c r="T69" s="7" t="s">
        <v>1452</v>
      </c>
      <c r="U69" s="7"/>
      <c r="V69" s="7" t="s">
        <v>924</v>
      </c>
    </row>
    <row r="70" spans="1:22" ht="42" x14ac:dyDescent="0.2">
      <c r="A70" s="7" t="s">
        <v>665</v>
      </c>
      <c r="B70" s="7" t="s">
        <v>1453</v>
      </c>
      <c r="C70" s="7" t="s">
        <v>1454</v>
      </c>
      <c r="D70" s="7" t="s">
        <v>1454</v>
      </c>
      <c r="E70" s="7" t="s">
        <v>1455</v>
      </c>
      <c r="F70" s="7" t="s">
        <v>1456</v>
      </c>
      <c r="G70" s="7" t="s">
        <v>888</v>
      </c>
      <c r="H70" s="7" t="s">
        <v>187</v>
      </c>
      <c r="I70" s="7" t="s">
        <v>187</v>
      </c>
      <c r="J70" s="7" t="s">
        <v>1457</v>
      </c>
      <c r="K70" s="7" t="s">
        <v>1410</v>
      </c>
      <c r="L70" s="7" t="s">
        <v>1458</v>
      </c>
      <c r="M70" s="7" t="s">
        <v>187</v>
      </c>
      <c r="N70" s="7" t="s">
        <v>187</v>
      </c>
      <c r="O70" s="7" t="s">
        <v>187</v>
      </c>
      <c r="P70" s="7" t="s">
        <v>850</v>
      </c>
      <c r="Q70" s="7" t="s">
        <v>1459</v>
      </c>
      <c r="R70" s="7" t="s">
        <v>1460</v>
      </c>
      <c r="S70" s="7" t="s">
        <v>1461</v>
      </c>
      <c r="T70" s="7" t="s">
        <v>1278</v>
      </c>
      <c r="U70" s="7"/>
      <c r="V70" s="7" t="s">
        <v>924</v>
      </c>
    </row>
    <row r="71" spans="1:22" ht="42" x14ac:dyDescent="0.2">
      <c r="A71" s="7" t="s">
        <v>675</v>
      </c>
      <c r="B71" s="7" t="s">
        <v>1462</v>
      </c>
      <c r="C71" s="7" t="s">
        <v>1356</v>
      </c>
      <c r="D71" s="7" t="s">
        <v>99</v>
      </c>
      <c r="E71" s="7" t="s">
        <v>1463</v>
      </c>
      <c r="F71" s="7" t="s">
        <v>1464</v>
      </c>
      <c r="G71" s="7" t="s">
        <v>187</v>
      </c>
      <c r="H71" s="7" t="s">
        <v>843</v>
      </c>
      <c r="I71" s="7" t="s">
        <v>1465</v>
      </c>
      <c r="J71" s="7" t="s">
        <v>1466</v>
      </c>
      <c r="K71" s="7" t="s">
        <v>1467</v>
      </c>
      <c r="L71" s="7" t="s">
        <v>1468</v>
      </c>
      <c r="M71" s="7" t="s">
        <v>187</v>
      </c>
      <c r="N71" s="7" t="s">
        <v>187</v>
      </c>
      <c r="O71" s="7" t="s">
        <v>187</v>
      </c>
      <c r="P71" s="7" t="s">
        <v>863</v>
      </c>
      <c r="Q71" s="7" t="s">
        <v>850</v>
      </c>
      <c r="R71" s="7" t="s">
        <v>850</v>
      </c>
      <c r="S71" s="7" t="s">
        <v>1087</v>
      </c>
      <c r="T71" s="7" t="s">
        <v>1469</v>
      </c>
      <c r="U71" s="7"/>
      <c r="V71" s="7" t="s">
        <v>1089</v>
      </c>
    </row>
    <row r="72" spans="1:22" ht="56" x14ac:dyDescent="0.2">
      <c r="A72" s="7" t="s">
        <v>675</v>
      </c>
      <c r="B72" s="7" t="s">
        <v>1470</v>
      </c>
      <c r="C72" s="7" t="s">
        <v>1471</v>
      </c>
      <c r="D72" s="7" t="s">
        <v>253</v>
      </c>
      <c r="E72" s="7" t="s">
        <v>1472</v>
      </c>
      <c r="F72" s="7" t="s">
        <v>1473</v>
      </c>
      <c r="G72" s="7" t="s">
        <v>1020</v>
      </c>
      <c r="H72" s="7" t="s">
        <v>1474</v>
      </c>
      <c r="I72" s="7" t="s">
        <v>1475</v>
      </c>
      <c r="J72" s="7" t="s">
        <v>1476</v>
      </c>
      <c r="K72" s="7" t="s">
        <v>1477</v>
      </c>
      <c r="L72" s="7" t="s">
        <v>1478</v>
      </c>
      <c r="M72" s="7" t="s">
        <v>187</v>
      </c>
      <c r="N72" s="7" t="s">
        <v>187</v>
      </c>
      <c r="O72" s="7" t="s">
        <v>187</v>
      </c>
      <c r="P72" s="7" t="s">
        <v>863</v>
      </c>
      <c r="Q72" s="7" t="s">
        <v>850</v>
      </c>
      <c r="R72" s="7" t="s">
        <v>850</v>
      </c>
      <c r="S72" s="7" t="s">
        <v>1087</v>
      </c>
      <c r="T72" s="7" t="s">
        <v>1479</v>
      </c>
      <c r="U72" s="7" t="s">
        <v>1480</v>
      </c>
      <c r="V72" s="7" t="s">
        <v>1089</v>
      </c>
    </row>
    <row r="73" spans="1:22" ht="70" x14ac:dyDescent="0.2">
      <c r="A73" s="7" t="s">
        <v>692</v>
      </c>
      <c r="B73" s="7" t="s">
        <v>1481</v>
      </c>
      <c r="C73" s="7" t="s">
        <v>1482</v>
      </c>
      <c r="D73" s="7" t="s">
        <v>99</v>
      </c>
      <c r="E73" s="7" t="s">
        <v>702</v>
      </c>
      <c r="F73" s="7" t="s">
        <v>187</v>
      </c>
      <c r="G73" s="7" t="s">
        <v>187</v>
      </c>
      <c r="H73" s="7" t="s">
        <v>187</v>
      </c>
      <c r="I73" s="7" t="s">
        <v>1483</v>
      </c>
      <c r="J73" s="7" t="s">
        <v>1484</v>
      </c>
      <c r="K73" s="7" t="s">
        <v>1485</v>
      </c>
      <c r="L73" s="7" t="s">
        <v>187</v>
      </c>
      <c r="M73" s="7" t="s">
        <v>1486</v>
      </c>
      <c r="N73" s="7" t="s">
        <v>187</v>
      </c>
      <c r="O73" s="7" t="s">
        <v>1487</v>
      </c>
      <c r="P73" s="7" t="s">
        <v>850</v>
      </c>
      <c r="Q73" s="7" t="s">
        <v>1488</v>
      </c>
      <c r="R73" s="7" t="s">
        <v>187</v>
      </c>
      <c r="S73" s="7" t="s">
        <v>1489</v>
      </c>
      <c r="T73" s="7" t="s">
        <v>1490</v>
      </c>
      <c r="U73" s="7" t="s">
        <v>1491</v>
      </c>
      <c r="V73" s="7" t="s">
        <v>924</v>
      </c>
    </row>
    <row r="74" spans="1:22" ht="56" x14ac:dyDescent="0.2">
      <c r="A74" s="7" t="s">
        <v>708</v>
      </c>
      <c r="B74" s="7" t="s">
        <v>1492</v>
      </c>
      <c r="C74" s="7" t="s">
        <v>1493</v>
      </c>
      <c r="D74" s="7" t="s">
        <v>1494</v>
      </c>
      <c r="E74" s="7" t="s">
        <v>1066</v>
      </c>
      <c r="F74" s="7" t="s">
        <v>1495</v>
      </c>
      <c r="G74" s="7" t="s">
        <v>1496</v>
      </c>
      <c r="H74" s="7" t="s">
        <v>1497</v>
      </c>
      <c r="I74" s="7" t="s">
        <v>187</v>
      </c>
      <c r="J74" s="7" t="s">
        <v>863</v>
      </c>
      <c r="K74" s="7" t="s">
        <v>1498</v>
      </c>
      <c r="L74" s="7" t="s">
        <v>187</v>
      </c>
      <c r="M74" s="7" t="s">
        <v>1499</v>
      </c>
      <c r="N74" s="7" t="s">
        <v>187</v>
      </c>
      <c r="O74" s="7" t="s">
        <v>187</v>
      </c>
      <c r="P74" s="7" t="s">
        <v>863</v>
      </c>
      <c r="Q74" s="7" t="s">
        <v>850</v>
      </c>
      <c r="R74" s="7" t="s">
        <v>850</v>
      </c>
      <c r="S74" s="7" t="s">
        <v>1500</v>
      </c>
      <c r="T74" s="7" t="s">
        <v>1501</v>
      </c>
      <c r="U74" s="7" t="s">
        <v>1502</v>
      </c>
      <c r="V74" s="7" t="s">
        <v>1503</v>
      </c>
    </row>
    <row r="75" spans="1:22" ht="42" x14ac:dyDescent="0.2">
      <c r="A75" s="7" t="s">
        <v>708</v>
      </c>
      <c r="B75" s="7" t="s">
        <v>1504</v>
      </c>
      <c r="C75" s="7" t="s">
        <v>1505</v>
      </c>
      <c r="D75" s="7" t="s">
        <v>1371</v>
      </c>
      <c r="E75" s="7" t="s">
        <v>950</v>
      </c>
      <c r="F75" s="7" t="s">
        <v>1506</v>
      </c>
      <c r="G75" s="7" t="s">
        <v>1507</v>
      </c>
      <c r="H75" s="7" t="s">
        <v>1508</v>
      </c>
      <c r="I75" s="7" t="s">
        <v>187</v>
      </c>
      <c r="J75" s="7" t="s">
        <v>863</v>
      </c>
      <c r="K75" s="7" t="s">
        <v>1498</v>
      </c>
      <c r="L75" s="7" t="s">
        <v>187</v>
      </c>
      <c r="M75" s="7" t="s">
        <v>1509</v>
      </c>
      <c r="N75" s="7" t="s">
        <v>187</v>
      </c>
      <c r="O75" s="7" t="s">
        <v>187</v>
      </c>
      <c r="P75" s="7" t="s">
        <v>863</v>
      </c>
      <c r="Q75" s="7" t="s">
        <v>850</v>
      </c>
      <c r="R75" s="7" t="s">
        <v>850</v>
      </c>
      <c r="S75" s="7" t="s">
        <v>1510</v>
      </c>
      <c r="T75" s="7" t="s">
        <v>1511</v>
      </c>
      <c r="U75" s="7" t="s">
        <v>1512</v>
      </c>
      <c r="V75" s="7" t="s">
        <v>1503</v>
      </c>
    </row>
    <row r="76" spans="1:22" ht="56" x14ac:dyDescent="0.2">
      <c r="A76" s="7" t="s">
        <v>723</v>
      </c>
      <c r="B76" s="7" t="s">
        <v>1513</v>
      </c>
      <c r="C76" s="7" t="s">
        <v>253</v>
      </c>
      <c r="D76" s="7" t="s">
        <v>253</v>
      </c>
      <c r="E76" s="7" t="s">
        <v>894</v>
      </c>
      <c r="F76" s="7" t="s">
        <v>1514</v>
      </c>
      <c r="G76" s="7" t="s">
        <v>888</v>
      </c>
      <c r="H76" s="7" t="s">
        <v>187</v>
      </c>
      <c r="I76" s="7" t="s">
        <v>187</v>
      </c>
      <c r="J76" s="7" t="s">
        <v>1515</v>
      </c>
      <c r="K76" s="7" t="s">
        <v>1516</v>
      </c>
      <c r="L76" s="7" t="s">
        <v>1395</v>
      </c>
      <c r="M76" s="7" t="s">
        <v>1517</v>
      </c>
      <c r="N76" s="7" t="s">
        <v>187</v>
      </c>
      <c r="O76" s="7" t="s">
        <v>187</v>
      </c>
      <c r="P76" s="7" t="s">
        <v>850</v>
      </c>
      <c r="Q76" s="7" t="s">
        <v>187</v>
      </c>
      <c r="R76" s="7" t="s">
        <v>187</v>
      </c>
      <c r="S76" s="7" t="s">
        <v>1518</v>
      </c>
      <c r="T76" s="7" t="s">
        <v>1519</v>
      </c>
      <c r="U76" s="7" t="s">
        <v>1520</v>
      </c>
      <c r="V76" s="7" t="s">
        <v>1521</v>
      </c>
    </row>
    <row r="77" spans="1:22" ht="28" x14ac:dyDescent="0.2">
      <c r="A77" s="7" t="s">
        <v>723</v>
      </c>
      <c r="B77" s="7" t="s">
        <v>1522</v>
      </c>
      <c r="C77" s="7" t="s">
        <v>1523</v>
      </c>
      <c r="D77" s="7" t="s">
        <v>99</v>
      </c>
      <c r="E77" s="7" t="s">
        <v>1524</v>
      </c>
      <c r="F77" s="7" t="s">
        <v>1525</v>
      </c>
      <c r="G77" s="7" t="s">
        <v>1446</v>
      </c>
      <c r="H77" s="7" t="s">
        <v>187</v>
      </c>
      <c r="I77" s="7" t="s">
        <v>187</v>
      </c>
      <c r="J77" s="7" t="s">
        <v>1526</v>
      </c>
      <c r="K77" s="7" t="s">
        <v>1516</v>
      </c>
      <c r="L77" s="7" t="s">
        <v>1527</v>
      </c>
      <c r="M77" s="7" t="s">
        <v>1528</v>
      </c>
      <c r="N77" s="7" t="s">
        <v>187</v>
      </c>
      <c r="O77" s="7" t="s">
        <v>187</v>
      </c>
      <c r="P77" s="7" t="s">
        <v>850</v>
      </c>
      <c r="Q77" s="7" t="s">
        <v>187</v>
      </c>
      <c r="R77" s="7" t="s">
        <v>187</v>
      </c>
      <c r="S77" s="7" t="s">
        <v>1529</v>
      </c>
      <c r="T77" s="7" t="s">
        <v>1530</v>
      </c>
      <c r="U77" s="7"/>
      <c r="V77" s="7" t="s">
        <v>1521</v>
      </c>
    </row>
    <row r="78" spans="1:22" ht="56" x14ac:dyDescent="0.2">
      <c r="A78" s="7" t="s">
        <v>738</v>
      </c>
      <c r="B78" s="7" t="s">
        <v>1531</v>
      </c>
      <c r="C78" s="7" t="s">
        <v>1532</v>
      </c>
      <c r="D78" s="7" t="s">
        <v>1533</v>
      </c>
      <c r="E78" s="7" t="s">
        <v>991</v>
      </c>
      <c r="F78" s="7" t="s">
        <v>1534</v>
      </c>
      <c r="G78" s="7" t="s">
        <v>187</v>
      </c>
      <c r="H78" s="7" t="s">
        <v>1535</v>
      </c>
      <c r="I78" s="7" t="s">
        <v>1536</v>
      </c>
      <c r="J78" s="7" t="s">
        <v>863</v>
      </c>
      <c r="K78" s="7" t="s">
        <v>1537</v>
      </c>
      <c r="L78" s="7" t="s">
        <v>1538</v>
      </c>
      <c r="M78" s="7" t="s">
        <v>1539</v>
      </c>
      <c r="N78" s="7" t="s">
        <v>187</v>
      </c>
      <c r="O78" s="7" t="s">
        <v>187</v>
      </c>
      <c r="P78" s="7" t="s">
        <v>850</v>
      </c>
      <c r="Q78" s="7" t="s">
        <v>1540</v>
      </c>
      <c r="R78" s="7" t="s">
        <v>1541</v>
      </c>
      <c r="S78" s="7" t="s">
        <v>1542</v>
      </c>
      <c r="T78" s="7" t="s">
        <v>1365</v>
      </c>
      <c r="U78" s="7" t="s">
        <v>1543</v>
      </c>
      <c r="V78" s="7" t="s">
        <v>1089</v>
      </c>
    </row>
    <row r="79" spans="1:22" ht="56" x14ac:dyDescent="0.2">
      <c r="A79" s="7" t="s">
        <v>738</v>
      </c>
      <c r="B79" s="7" t="s">
        <v>1544</v>
      </c>
      <c r="C79" s="7" t="s">
        <v>1545</v>
      </c>
      <c r="D79" s="7" t="s">
        <v>1546</v>
      </c>
      <c r="E79" s="7" t="s">
        <v>265</v>
      </c>
      <c r="F79" s="7" t="s">
        <v>1547</v>
      </c>
      <c r="G79" s="7" t="s">
        <v>187</v>
      </c>
      <c r="H79" s="7" t="s">
        <v>1548</v>
      </c>
      <c r="I79" s="7" t="s">
        <v>1549</v>
      </c>
      <c r="J79" s="7" t="s">
        <v>863</v>
      </c>
      <c r="K79" s="7" t="s">
        <v>1550</v>
      </c>
      <c r="L79" s="7" t="s">
        <v>1551</v>
      </c>
      <c r="M79" s="7" t="s">
        <v>1552</v>
      </c>
      <c r="N79" s="7" t="s">
        <v>187</v>
      </c>
      <c r="O79" s="7" t="s">
        <v>187</v>
      </c>
      <c r="P79" s="7" t="s">
        <v>850</v>
      </c>
      <c r="Q79" s="7" t="s">
        <v>1553</v>
      </c>
      <c r="R79" s="7" t="s">
        <v>1554</v>
      </c>
      <c r="S79" s="7" t="s">
        <v>1555</v>
      </c>
      <c r="T79" s="7" t="s">
        <v>1556</v>
      </c>
      <c r="U79" s="7" t="s">
        <v>1557</v>
      </c>
      <c r="V79" s="7" t="s">
        <v>1089</v>
      </c>
    </row>
    <row r="80" spans="1:22" ht="56" x14ac:dyDescent="0.2">
      <c r="A80" s="7" t="s">
        <v>752</v>
      </c>
      <c r="B80" s="7" t="s">
        <v>1558</v>
      </c>
      <c r="C80" s="7" t="s">
        <v>1559</v>
      </c>
      <c r="D80" s="7" t="s">
        <v>1560</v>
      </c>
      <c r="E80" s="7" t="s">
        <v>1561</v>
      </c>
      <c r="F80" s="7" t="s">
        <v>1562</v>
      </c>
      <c r="G80" s="7" t="s">
        <v>187</v>
      </c>
      <c r="H80" s="7" t="s">
        <v>1563</v>
      </c>
      <c r="I80" s="7" t="s">
        <v>1564</v>
      </c>
      <c r="J80" s="7" t="s">
        <v>863</v>
      </c>
      <c r="K80" s="7" t="s">
        <v>1565</v>
      </c>
      <c r="L80" s="7" t="s">
        <v>187</v>
      </c>
      <c r="M80" s="7" t="s">
        <v>1566</v>
      </c>
      <c r="N80" s="7" t="s">
        <v>187</v>
      </c>
      <c r="O80" s="7" t="s">
        <v>187</v>
      </c>
      <c r="P80" s="7" t="s">
        <v>850</v>
      </c>
      <c r="Q80" s="7" t="s">
        <v>1200</v>
      </c>
      <c r="R80" s="7" t="s">
        <v>991</v>
      </c>
      <c r="S80" s="7" t="s">
        <v>1567</v>
      </c>
      <c r="T80" s="7" t="s">
        <v>845</v>
      </c>
      <c r="U80" s="7" t="s">
        <v>1568</v>
      </c>
      <c r="V80" s="7" t="s">
        <v>1089</v>
      </c>
    </row>
    <row r="81" spans="1:22" ht="42" x14ac:dyDescent="0.2">
      <c r="A81" s="7" t="s">
        <v>752</v>
      </c>
      <c r="B81" s="7" t="s">
        <v>1569</v>
      </c>
      <c r="C81" s="7" t="s">
        <v>1570</v>
      </c>
      <c r="D81" s="7" t="s">
        <v>99</v>
      </c>
      <c r="E81" s="7" t="s">
        <v>1107</v>
      </c>
      <c r="F81" s="7" t="s">
        <v>1571</v>
      </c>
      <c r="G81" s="7" t="s">
        <v>187</v>
      </c>
      <c r="H81" s="7" t="s">
        <v>1572</v>
      </c>
      <c r="I81" s="7" t="s">
        <v>1232</v>
      </c>
      <c r="J81" s="7" t="s">
        <v>1051</v>
      </c>
      <c r="K81" s="7" t="s">
        <v>1573</v>
      </c>
      <c r="L81" s="7" t="s">
        <v>187</v>
      </c>
      <c r="M81" s="7" t="s">
        <v>1574</v>
      </c>
      <c r="N81" s="7" t="s">
        <v>187</v>
      </c>
      <c r="O81" s="7" t="s">
        <v>187</v>
      </c>
      <c r="P81" s="7" t="s">
        <v>850</v>
      </c>
      <c r="Q81" s="7" t="s">
        <v>1200</v>
      </c>
      <c r="R81" s="7" t="s">
        <v>894</v>
      </c>
      <c r="S81" s="7" t="s">
        <v>1567</v>
      </c>
      <c r="T81" s="7" t="s">
        <v>1575</v>
      </c>
      <c r="U81" s="7"/>
      <c r="V81" s="7" t="s">
        <v>1089</v>
      </c>
    </row>
    <row r="82" spans="1:22" ht="56" x14ac:dyDescent="0.2">
      <c r="A82" s="7" t="s">
        <v>766</v>
      </c>
      <c r="B82" s="7" t="s">
        <v>1576</v>
      </c>
      <c r="C82" s="7" t="s">
        <v>1577</v>
      </c>
      <c r="D82" s="7" t="s">
        <v>253</v>
      </c>
      <c r="E82" s="7" t="s">
        <v>774</v>
      </c>
      <c r="F82" s="7" t="s">
        <v>1578</v>
      </c>
      <c r="G82" s="7" t="s">
        <v>1579</v>
      </c>
      <c r="H82" s="7" t="s">
        <v>1580</v>
      </c>
      <c r="I82" s="7" t="s">
        <v>1581</v>
      </c>
      <c r="J82" s="7" t="s">
        <v>1582</v>
      </c>
      <c r="K82" s="7" t="s">
        <v>1583</v>
      </c>
      <c r="L82" s="7" t="s">
        <v>850</v>
      </c>
      <c r="M82" s="7" t="s">
        <v>1584</v>
      </c>
      <c r="N82" s="7" t="s">
        <v>187</v>
      </c>
      <c r="O82" s="7" t="s">
        <v>187</v>
      </c>
      <c r="P82" s="7" t="s">
        <v>850</v>
      </c>
      <c r="Q82" s="7" t="s">
        <v>1585</v>
      </c>
      <c r="R82" s="7" t="s">
        <v>1586</v>
      </c>
      <c r="S82" s="7" t="s">
        <v>1587</v>
      </c>
      <c r="T82" s="7" t="s">
        <v>1479</v>
      </c>
      <c r="U82" s="7" t="s">
        <v>1588</v>
      </c>
      <c r="V82" s="7" t="s">
        <v>866</v>
      </c>
    </row>
    <row r="83" spans="1:22" ht="56" x14ac:dyDescent="0.2">
      <c r="A83" s="7" t="s">
        <v>780</v>
      </c>
      <c r="B83" s="7" t="s">
        <v>1589</v>
      </c>
      <c r="C83" s="7" t="s">
        <v>1589</v>
      </c>
      <c r="D83" s="7" t="s">
        <v>99</v>
      </c>
      <c r="E83" s="7" t="s">
        <v>1051</v>
      </c>
      <c r="F83" s="7" t="s">
        <v>187</v>
      </c>
      <c r="G83" s="7" t="s">
        <v>187</v>
      </c>
      <c r="H83" s="7" t="s">
        <v>1590</v>
      </c>
      <c r="I83" s="7" t="s">
        <v>1591</v>
      </c>
      <c r="J83" s="7" t="s">
        <v>1592</v>
      </c>
      <c r="K83" s="7" t="s">
        <v>1593</v>
      </c>
      <c r="L83" s="7" t="s">
        <v>1592</v>
      </c>
      <c r="M83" s="7" t="s">
        <v>1594</v>
      </c>
      <c r="N83" s="7" t="s">
        <v>187</v>
      </c>
      <c r="O83" s="7" t="s">
        <v>1595</v>
      </c>
      <c r="P83" s="7" t="s">
        <v>850</v>
      </c>
      <c r="Q83" s="7" t="s">
        <v>1596</v>
      </c>
      <c r="R83" s="7" t="s">
        <v>1597</v>
      </c>
      <c r="S83" s="7" t="s">
        <v>1598</v>
      </c>
      <c r="T83" s="7" t="s">
        <v>1409</v>
      </c>
      <c r="U83" s="7" t="s">
        <v>1599</v>
      </c>
      <c r="V83" s="7" t="s">
        <v>924</v>
      </c>
    </row>
    <row r="84" spans="1:22" ht="56" x14ac:dyDescent="0.2">
      <c r="A84" s="7" t="s">
        <v>780</v>
      </c>
      <c r="B84" s="7" t="s">
        <v>253</v>
      </c>
      <c r="C84" s="7" t="s">
        <v>253</v>
      </c>
      <c r="D84" s="7" t="s">
        <v>253</v>
      </c>
      <c r="E84" s="7" t="s">
        <v>1600</v>
      </c>
      <c r="F84" s="7" t="s">
        <v>1601</v>
      </c>
      <c r="G84" s="7" t="s">
        <v>1602</v>
      </c>
      <c r="H84" s="7" t="s">
        <v>1603</v>
      </c>
      <c r="I84" s="7" t="s">
        <v>1604</v>
      </c>
      <c r="J84" s="7" t="s">
        <v>1605</v>
      </c>
      <c r="K84" s="7" t="s">
        <v>1593</v>
      </c>
      <c r="L84" s="7" t="s">
        <v>1606</v>
      </c>
      <c r="M84" s="7" t="s">
        <v>1607</v>
      </c>
      <c r="N84" s="7" t="s">
        <v>187</v>
      </c>
      <c r="O84" s="7" t="s">
        <v>1608</v>
      </c>
      <c r="P84" s="7" t="s">
        <v>850</v>
      </c>
      <c r="Q84" s="7" t="s">
        <v>1609</v>
      </c>
      <c r="R84" s="7" t="s">
        <v>1540</v>
      </c>
      <c r="S84" s="7" t="s">
        <v>1610</v>
      </c>
      <c r="T84" s="7" t="s">
        <v>1396</v>
      </c>
      <c r="U84" s="7"/>
      <c r="V84" s="7" t="s">
        <v>924</v>
      </c>
    </row>
    <row r="85" spans="1:22" ht="28" x14ac:dyDescent="0.2">
      <c r="A85" s="7" t="s">
        <v>793</v>
      </c>
      <c r="B85" s="7" t="s">
        <v>1611</v>
      </c>
      <c r="C85" s="7" t="s">
        <v>1356</v>
      </c>
      <c r="D85" s="7" t="s">
        <v>99</v>
      </c>
      <c r="E85" s="7" t="s">
        <v>883</v>
      </c>
      <c r="F85" s="7" t="s">
        <v>187</v>
      </c>
      <c r="G85" s="7" t="s">
        <v>187</v>
      </c>
      <c r="H85" s="7" t="s">
        <v>187</v>
      </c>
      <c r="I85" s="7" t="s">
        <v>187</v>
      </c>
      <c r="J85" s="7" t="s">
        <v>187</v>
      </c>
      <c r="K85" s="7" t="s">
        <v>187</v>
      </c>
      <c r="L85" s="7" t="s">
        <v>1358</v>
      </c>
      <c r="M85" s="7" t="s">
        <v>1612</v>
      </c>
      <c r="N85" s="7" t="s">
        <v>1613</v>
      </c>
      <c r="O85" s="7" t="s">
        <v>187</v>
      </c>
      <c r="P85" s="7" t="s">
        <v>850</v>
      </c>
      <c r="Q85" s="7" t="s">
        <v>1614</v>
      </c>
      <c r="R85" s="7" t="s">
        <v>1615</v>
      </c>
      <c r="S85" s="7" t="s">
        <v>1616</v>
      </c>
      <c r="T85" s="7" t="s">
        <v>1360</v>
      </c>
      <c r="U85" s="7" t="s">
        <v>1617</v>
      </c>
      <c r="V85" s="7" t="s">
        <v>981</v>
      </c>
    </row>
    <row r="86" spans="1:22" ht="56" x14ac:dyDescent="0.2">
      <c r="A86" s="7" t="s">
        <v>793</v>
      </c>
      <c r="B86" s="7" t="s">
        <v>1618</v>
      </c>
      <c r="C86" s="7" t="s">
        <v>1619</v>
      </c>
      <c r="D86" s="7" t="s">
        <v>253</v>
      </c>
      <c r="E86" s="7" t="s">
        <v>1018</v>
      </c>
      <c r="F86" s="7" t="s">
        <v>187</v>
      </c>
      <c r="G86" s="7" t="s">
        <v>1620</v>
      </c>
      <c r="H86" s="7" t="s">
        <v>187</v>
      </c>
      <c r="I86" s="7" t="s">
        <v>187</v>
      </c>
      <c r="J86" s="7" t="s">
        <v>187</v>
      </c>
      <c r="K86" s="7" t="s">
        <v>187</v>
      </c>
      <c r="L86" s="7" t="s">
        <v>1365</v>
      </c>
      <c r="M86" s="7" t="s">
        <v>1621</v>
      </c>
      <c r="N86" s="7" t="s">
        <v>1622</v>
      </c>
      <c r="O86" s="7" t="s">
        <v>187</v>
      </c>
      <c r="P86" s="7" t="s">
        <v>850</v>
      </c>
      <c r="Q86" s="7" t="s">
        <v>187</v>
      </c>
      <c r="R86" s="7" t="s">
        <v>187</v>
      </c>
      <c r="S86" s="7" t="s">
        <v>1623</v>
      </c>
      <c r="T86" s="7" t="s">
        <v>1367</v>
      </c>
      <c r="U86" s="7"/>
      <c r="V86" s="7" t="s">
        <v>981</v>
      </c>
    </row>
    <row r="87" spans="1:22" ht="28" x14ac:dyDescent="0.2">
      <c r="A87" s="7" t="s">
        <v>793</v>
      </c>
      <c r="B87" s="7" t="s">
        <v>1624</v>
      </c>
      <c r="C87" s="7" t="s">
        <v>1370</v>
      </c>
      <c r="D87" s="7" t="s">
        <v>1371</v>
      </c>
      <c r="E87" s="7" t="s">
        <v>1372</v>
      </c>
      <c r="F87" s="7" t="s">
        <v>187</v>
      </c>
      <c r="G87" s="7" t="s">
        <v>187</v>
      </c>
      <c r="H87" s="7" t="s">
        <v>187</v>
      </c>
      <c r="I87" s="7" t="s">
        <v>187</v>
      </c>
      <c r="J87" s="7" t="s">
        <v>187</v>
      </c>
      <c r="K87" s="7" t="s">
        <v>187</v>
      </c>
      <c r="L87" s="7" t="s">
        <v>1374</v>
      </c>
      <c r="M87" s="7" t="s">
        <v>1621</v>
      </c>
      <c r="N87" s="7" t="s">
        <v>1622</v>
      </c>
      <c r="O87" s="7" t="s">
        <v>187</v>
      </c>
      <c r="P87" s="7" t="s">
        <v>850</v>
      </c>
      <c r="Q87" s="7" t="s">
        <v>187</v>
      </c>
      <c r="R87" s="7" t="s">
        <v>187</v>
      </c>
      <c r="S87" s="7" t="s">
        <v>1625</v>
      </c>
      <c r="T87" s="7" t="s">
        <v>1376</v>
      </c>
      <c r="U87" s="7" t="s">
        <v>1626</v>
      </c>
      <c r="V87" s="7" t="s">
        <v>981</v>
      </c>
    </row>
    <row r="88" spans="1:22" ht="56" x14ac:dyDescent="0.2">
      <c r="A88" s="7" t="s">
        <v>802</v>
      </c>
      <c r="B88" s="7" t="s">
        <v>1627</v>
      </c>
      <c r="C88" s="7" t="s">
        <v>1628</v>
      </c>
      <c r="D88" s="7" t="s">
        <v>253</v>
      </c>
      <c r="E88" s="7" t="s">
        <v>1008</v>
      </c>
      <c r="F88" s="7" t="s">
        <v>1629</v>
      </c>
      <c r="G88" s="7" t="s">
        <v>1630</v>
      </c>
      <c r="H88" s="7" t="s">
        <v>1631</v>
      </c>
      <c r="I88" s="7" t="s">
        <v>1632</v>
      </c>
      <c r="J88" s="7" t="s">
        <v>863</v>
      </c>
      <c r="K88" s="7" t="s">
        <v>1633</v>
      </c>
      <c r="L88" s="7" t="s">
        <v>1117</v>
      </c>
      <c r="M88" s="7" t="s">
        <v>1634</v>
      </c>
      <c r="N88" s="7" t="s">
        <v>187</v>
      </c>
      <c r="O88" s="7" t="s">
        <v>1635</v>
      </c>
      <c r="P88" s="7" t="s">
        <v>850</v>
      </c>
      <c r="Q88" s="7" t="s">
        <v>187</v>
      </c>
      <c r="R88" s="7" t="s">
        <v>1636</v>
      </c>
      <c r="S88" s="7" t="s">
        <v>1637</v>
      </c>
      <c r="T88" s="7" t="s">
        <v>1140</v>
      </c>
      <c r="U88" s="7" t="s">
        <v>1638</v>
      </c>
      <c r="V88" s="7" t="s">
        <v>1639</v>
      </c>
    </row>
    <row r="89" spans="1:22" ht="84" x14ac:dyDescent="0.2">
      <c r="A89" s="7" t="s">
        <v>802</v>
      </c>
      <c r="B89" s="7" t="s">
        <v>1640</v>
      </c>
      <c r="C89" s="7" t="s">
        <v>1641</v>
      </c>
      <c r="D89" s="7" t="s">
        <v>253</v>
      </c>
      <c r="E89" s="7" t="s">
        <v>542</v>
      </c>
      <c r="F89" s="7" t="s">
        <v>1642</v>
      </c>
      <c r="G89" s="7" t="s">
        <v>1630</v>
      </c>
      <c r="H89" s="7" t="s">
        <v>1643</v>
      </c>
      <c r="I89" s="7" t="s">
        <v>1644</v>
      </c>
      <c r="J89" s="7" t="s">
        <v>863</v>
      </c>
      <c r="K89" s="7" t="s">
        <v>1633</v>
      </c>
      <c r="L89" s="7" t="s">
        <v>1645</v>
      </c>
      <c r="M89" s="7" t="s">
        <v>1646</v>
      </c>
      <c r="N89" s="7" t="s">
        <v>187</v>
      </c>
      <c r="O89" s="7" t="s">
        <v>1647</v>
      </c>
      <c r="P89" s="7" t="s">
        <v>850</v>
      </c>
      <c r="Q89" s="7" t="s">
        <v>187</v>
      </c>
      <c r="R89" s="7" t="s">
        <v>1648</v>
      </c>
      <c r="S89" s="7" t="s">
        <v>1649</v>
      </c>
      <c r="T89" s="7" t="s">
        <v>1648</v>
      </c>
      <c r="U89" s="7" t="s">
        <v>1650</v>
      </c>
      <c r="V89" s="7" t="s">
        <v>1639</v>
      </c>
    </row>
  </sheetData>
  <dataValidations count="1">
    <dataValidation type="list" allowBlank="1" sqref="G4:G400" xr:uid="{00000000-0002-0000-0200-000001000000}">
      <formula1>"IV,PO,IV then PO,Inhaled,Mixed,NR"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Lists!$F$2:$F$20</xm:f>
          </x14:formula1>
          <x14:formula2>
            <xm:f>0</xm:f>
          </x14:formula2>
          <xm:sqref>D4:D400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2"/>
  <sheetViews>
    <sheetView showGridLines="0" zoomScaleNormal="100" workbookViewId="0">
      <pane ySplit="3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22" customWidth="1"/>
    <col min="4" max="4" width="26" customWidth="1"/>
    <col min="5" max="5" width="22" customWidth="1"/>
    <col min="6" max="6" width="10" customWidth="1"/>
    <col min="7" max="7" width="12" customWidth="1"/>
    <col min="8" max="8" width="26" customWidth="1"/>
    <col min="9" max="9" width="22" customWidth="1"/>
    <col min="10" max="10" width="40" customWidth="1"/>
    <col min="11" max="12" width="14" customWidth="1"/>
    <col min="13" max="13" width="26" customWidth="1"/>
  </cols>
  <sheetData>
    <row r="1" spans="1:13" ht="17" x14ac:dyDescent="0.2">
      <c r="A1" s="1" t="s">
        <v>1651</v>
      </c>
    </row>
    <row r="3" spans="1:13" ht="42" customHeight="1" x14ac:dyDescent="0.2">
      <c r="A3" s="5" t="s">
        <v>25</v>
      </c>
      <c r="B3" s="5" t="s">
        <v>818</v>
      </c>
      <c r="C3" s="5" t="s">
        <v>820</v>
      </c>
      <c r="D3" s="5" t="s">
        <v>1652</v>
      </c>
      <c r="E3" s="5" t="s">
        <v>1653</v>
      </c>
      <c r="F3" s="5" t="s">
        <v>1654</v>
      </c>
      <c r="G3" s="5" t="s">
        <v>1655</v>
      </c>
      <c r="H3" s="5" t="s">
        <v>1656</v>
      </c>
      <c r="I3" s="5" t="s">
        <v>1657</v>
      </c>
      <c r="J3" s="5" t="s">
        <v>1658</v>
      </c>
      <c r="K3" s="5" t="s">
        <v>838</v>
      </c>
      <c r="L3" s="5" t="s">
        <v>52</v>
      </c>
      <c r="M3" s="5" t="s">
        <v>1659</v>
      </c>
    </row>
    <row r="4" spans="1:13" ht="28" x14ac:dyDescent="0.2">
      <c r="A4" s="6" t="s">
        <v>55</v>
      </c>
      <c r="B4" s="6" t="s">
        <v>839</v>
      </c>
      <c r="C4" s="6" t="s">
        <v>253</v>
      </c>
      <c r="D4" s="6" t="s">
        <v>1660</v>
      </c>
      <c r="E4" s="6" t="s">
        <v>1661</v>
      </c>
      <c r="F4" s="6" t="s">
        <v>1008</v>
      </c>
      <c r="G4" s="6" t="s">
        <v>840</v>
      </c>
      <c r="H4" s="6" t="s">
        <v>1662</v>
      </c>
      <c r="I4" s="6" t="s">
        <v>1663</v>
      </c>
      <c r="J4" s="6" t="s">
        <v>1664</v>
      </c>
      <c r="K4" s="6" t="s">
        <v>1665</v>
      </c>
      <c r="L4" s="6" t="s">
        <v>81</v>
      </c>
      <c r="M4" s="6" t="s">
        <v>854</v>
      </c>
    </row>
    <row r="5" spans="1:13" ht="98" x14ac:dyDescent="0.2">
      <c r="A5" s="7" t="s">
        <v>84</v>
      </c>
      <c r="B5" s="7" t="s">
        <v>856</v>
      </c>
      <c r="C5" s="7" t="s">
        <v>99</v>
      </c>
      <c r="D5" s="7" t="s">
        <v>1660</v>
      </c>
      <c r="E5" s="7" t="s">
        <v>1666</v>
      </c>
      <c r="F5" s="7" t="s">
        <v>187</v>
      </c>
      <c r="G5" s="7" t="s">
        <v>858</v>
      </c>
      <c r="H5" s="7" t="s">
        <v>1667</v>
      </c>
      <c r="I5" s="7" t="s">
        <v>1668</v>
      </c>
      <c r="J5" s="7" t="s">
        <v>1669</v>
      </c>
      <c r="K5" s="7" t="s">
        <v>1670</v>
      </c>
      <c r="L5" s="7" t="s">
        <v>105</v>
      </c>
      <c r="M5" s="7" t="s">
        <v>1671</v>
      </c>
    </row>
    <row r="6" spans="1:13" ht="28" x14ac:dyDescent="0.2">
      <c r="A6" s="7" t="s">
        <v>84</v>
      </c>
      <c r="B6" s="7" t="s">
        <v>867</v>
      </c>
      <c r="C6" s="7" t="s">
        <v>99</v>
      </c>
      <c r="D6" s="7" t="s">
        <v>1660</v>
      </c>
      <c r="E6" s="7" t="s">
        <v>1666</v>
      </c>
      <c r="F6" s="7" t="s">
        <v>187</v>
      </c>
      <c r="G6" s="7" t="s">
        <v>312</v>
      </c>
      <c r="H6" s="7" t="s">
        <v>1672</v>
      </c>
      <c r="I6" s="7" t="s">
        <v>187</v>
      </c>
      <c r="J6" s="7" t="s">
        <v>1673</v>
      </c>
      <c r="K6" s="7" t="s">
        <v>1674</v>
      </c>
      <c r="L6" s="7" t="s">
        <v>105</v>
      </c>
      <c r="M6" s="7" t="s">
        <v>1675</v>
      </c>
    </row>
    <row r="7" spans="1:13" ht="70" x14ac:dyDescent="0.2">
      <c r="A7" s="7" t="s">
        <v>84</v>
      </c>
      <c r="B7" s="7" t="s">
        <v>856</v>
      </c>
      <c r="C7" s="7" t="s">
        <v>99</v>
      </c>
      <c r="D7" s="7" t="s">
        <v>1676</v>
      </c>
      <c r="E7" s="7" t="s">
        <v>1677</v>
      </c>
      <c r="F7" s="7" t="s">
        <v>187</v>
      </c>
      <c r="G7" s="7" t="s">
        <v>858</v>
      </c>
      <c r="H7" s="7" t="s">
        <v>1678</v>
      </c>
      <c r="I7" s="7" t="s">
        <v>1679</v>
      </c>
      <c r="J7" s="7" t="s">
        <v>1680</v>
      </c>
      <c r="K7" s="7" t="s">
        <v>1670</v>
      </c>
      <c r="L7" s="7" t="s">
        <v>105</v>
      </c>
      <c r="M7" s="7" t="s">
        <v>1681</v>
      </c>
    </row>
    <row r="8" spans="1:13" ht="28" x14ac:dyDescent="0.2">
      <c r="A8" s="7" t="s">
        <v>84</v>
      </c>
      <c r="B8" s="7" t="s">
        <v>867</v>
      </c>
      <c r="C8" s="7" t="s">
        <v>99</v>
      </c>
      <c r="D8" s="7" t="s">
        <v>1676</v>
      </c>
      <c r="E8" s="7" t="s">
        <v>1677</v>
      </c>
      <c r="F8" s="7" t="s">
        <v>187</v>
      </c>
      <c r="G8" s="7" t="s">
        <v>312</v>
      </c>
      <c r="H8" s="7" t="s">
        <v>1672</v>
      </c>
      <c r="I8" s="7" t="s">
        <v>187</v>
      </c>
      <c r="J8" s="7" t="s">
        <v>1682</v>
      </c>
      <c r="K8" s="7" t="s">
        <v>1234</v>
      </c>
      <c r="L8" s="7" t="s">
        <v>105</v>
      </c>
      <c r="M8" s="7" t="s">
        <v>1683</v>
      </c>
    </row>
    <row r="9" spans="1:13" ht="42" x14ac:dyDescent="0.2">
      <c r="A9" s="7" t="s">
        <v>84</v>
      </c>
      <c r="B9" s="7" t="s">
        <v>856</v>
      </c>
      <c r="C9" s="7" t="s">
        <v>99</v>
      </c>
      <c r="D9" s="7" t="s">
        <v>1684</v>
      </c>
      <c r="E9" s="7" t="s">
        <v>1685</v>
      </c>
      <c r="F9" s="7" t="s">
        <v>1686</v>
      </c>
      <c r="G9" s="7" t="s">
        <v>858</v>
      </c>
      <c r="H9" s="7" t="s">
        <v>1687</v>
      </c>
      <c r="I9" s="7" t="s">
        <v>1679</v>
      </c>
      <c r="J9" s="7" t="s">
        <v>1688</v>
      </c>
      <c r="K9" s="7" t="s">
        <v>1234</v>
      </c>
      <c r="L9" s="7" t="s">
        <v>105</v>
      </c>
      <c r="M9" s="7"/>
    </row>
    <row r="10" spans="1:13" ht="28" x14ac:dyDescent="0.2">
      <c r="A10" s="7" t="s">
        <v>84</v>
      </c>
      <c r="B10" s="7" t="s">
        <v>867</v>
      </c>
      <c r="C10" s="7" t="s">
        <v>99</v>
      </c>
      <c r="D10" s="7" t="s">
        <v>1684</v>
      </c>
      <c r="E10" s="7" t="s">
        <v>1685</v>
      </c>
      <c r="F10" s="7" t="s">
        <v>1018</v>
      </c>
      <c r="G10" s="7" t="s">
        <v>312</v>
      </c>
      <c r="H10" s="7" t="s">
        <v>1672</v>
      </c>
      <c r="I10" s="7" t="s">
        <v>187</v>
      </c>
      <c r="J10" s="7" t="s">
        <v>1689</v>
      </c>
      <c r="K10" s="7" t="s">
        <v>1234</v>
      </c>
      <c r="L10" s="7" t="s">
        <v>105</v>
      </c>
      <c r="M10" s="7"/>
    </row>
    <row r="11" spans="1:13" ht="42" x14ac:dyDescent="0.2">
      <c r="A11" s="7" t="s">
        <v>107</v>
      </c>
      <c r="B11" s="7" t="s">
        <v>873</v>
      </c>
      <c r="C11" s="7" t="s">
        <v>99</v>
      </c>
      <c r="D11" s="7" t="s">
        <v>1690</v>
      </c>
      <c r="E11" s="7" t="s">
        <v>1691</v>
      </c>
      <c r="F11" s="7" t="s">
        <v>1692</v>
      </c>
      <c r="G11" s="7" t="s">
        <v>119</v>
      </c>
      <c r="H11" s="7" t="s">
        <v>1693</v>
      </c>
      <c r="I11" s="7" t="s">
        <v>1694</v>
      </c>
      <c r="J11" s="7" t="s">
        <v>1695</v>
      </c>
      <c r="K11" s="7" t="s">
        <v>1696</v>
      </c>
      <c r="L11" s="7" t="s">
        <v>105</v>
      </c>
      <c r="M11" s="7"/>
    </row>
    <row r="12" spans="1:13" ht="42" x14ac:dyDescent="0.2">
      <c r="A12" s="7" t="s">
        <v>107</v>
      </c>
      <c r="B12" s="7" t="s">
        <v>873</v>
      </c>
      <c r="C12" s="7" t="s">
        <v>99</v>
      </c>
      <c r="D12" s="7" t="s">
        <v>1697</v>
      </c>
      <c r="E12" s="7" t="s">
        <v>1698</v>
      </c>
      <c r="F12" s="7" t="s">
        <v>1022</v>
      </c>
      <c r="G12" s="7" t="s">
        <v>119</v>
      </c>
      <c r="H12" s="7" t="s">
        <v>187</v>
      </c>
      <c r="I12" s="7" t="s">
        <v>187</v>
      </c>
      <c r="J12" s="7" t="s">
        <v>1699</v>
      </c>
      <c r="K12" s="7" t="s">
        <v>1700</v>
      </c>
      <c r="L12" s="7" t="s">
        <v>105</v>
      </c>
      <c r="M12" s="7" t="s">
        <v>1701</v>
      </c>
    </row>
    <row r="13" spans="1:13" ht="42" x14ac:dyDescent="0.2">
      <c r="A13" s="7" t="s">
        <v>107</v>
      </c>
      <c r="B13" s="7" t="s">
        <v>873</v>
      </c>
      <c r="C13" s="7" t="s">
        <v>99</v>
      </c>
      <c r="D13" s="7" t="s">
        <v>1702</v>
      </c>
      <c r="E13" s="7" t="s">
        <v>1703</v>
      </c>
      <c r="F13" s="7" t="s">
        <v>1066</v>
      </c>
      <c r="G13" s="7" t="s">
        <v>119</v>
      </c>
      <c r="H13" s="7" t="s">
        <v>187</v>
      </c>
      <c r="I13" s="7" t="s">
        <v>187</v>
      </c>
      <c r="J13" s="7" t="s">
        <v>1704</v>
      </c>
      <c r="K13" s="7" t="s">
        <v>1700</v>
      </c>
      <c r="L13" s="7" t="s">
        <v>105</v>
      </c>
      <c r="M13" s="7" t="s">
        <v>1705</v>
      </c>
    </row>
    <row r="14" spans="1:13" ht="56" x14ac:dyDescent="0.2">
      <c r="A14" s="7" t="s">
        <v>107</v>
      </c>
      <c r="B14" s="7" t="s">
        <v>873</v>
      </c>
      <c r="C14" s="7" t="s">
        <v>99</v>
      </c>
      <c r="D14" s="7" t="s">
        <v>1706</v>
      </c>
      <c r="E14" s="7" t="s">
        <v>1707</v>
      </c>
      <c r="F14" s="7" t="s">
        <v>1708</v>
      </c>
      <c r="G14" s="7" t="s">
        <v>119</v>
      </c>
      <c r="H14" s="7" t="s">
        <v>187</v>
      </c>
      <c r="I14" s="7" t="s">
        <v>187</v>
      </c>
      <c r="J14" s="7" t="s">
        <v>1709</v>
      </c>
      <c r="K14" s="7" t="s">
        <v>1696</v>
      </c>
      <c r="L14" s="7" t="s">
        <v>105</v>
      </c>
      <c r="M14" s="7" t="s">
        <v>1710</v>
      </c>
    </row>
    <row r="15" spans="1:13" ht="42" x14ac:dyDescent="0.2">
      <c r="A15" s="7" t="s">
        <v>107</v>
      </c>
      <c r="B15" s="7" t="s">
        <v>873</v>
      </c>
      <c r="C15" s="7" t="s">
        <v>99</v>
      </c>
      <c r="D15" s="7" t="s">
        <v>1711</v>
      </c>
      <c r="E15" s="7" t="s">
        <v>1707</v>
      </c>
      <c r="F15" s="7" t="s">
        <v>1708</v>
      </c>
      <c r="G15" s="7" t="s">
        <v>119</v>
      </c>
      <c r="H15" s="7" t="s">
        <v>187</v>
      </c>
      <c r="I15" s="7" t="s">
        <v>187</v>
      </c>
      <c r="J15" s="7" t="s">
        <v>1712</v>
      </c>
      <c r="K15" s="7" t="s">
        <v>1700</v>
      </c>
      <c r="L15" s="7" t="s">
        <v>105</v>
      </c>
      <c r="M15" s="7" t="s">
        <v>1713</v>
      </c>
    </row>
    <row r="16" spans="1:13" ht="56" x14ac:dyDescent="0.2">
      <c r="A16" s="7" t="s">
        <v>125</v>
      </c>
      <c r="B16" s="7" t="s">
        <v>885</v>
      </c>
      <c r="C16" s="7" t="s">
        <v>138</v>
      </c>
      <c r="D16" s="7" t="s">
        <v>1714</v>
      </c>
      <c r="E16" s="7" t="s">
        <v>1715</v>
      </c>
      <c r="F16" s="7" t="s">
        <v>999</v>
      </c>
      <c r="G16" s="7" t="s">
        <v>136</v>
      </c>
      <c r="H16" s="7" t="s">
        <v>187</v>
      </c>
      <c r="I16" s="7" t="s">
        <v>1232</v>
      </c>
      <c r="J16" s="7" t="s">
        <v>1716</v>
      </c>
      <c r="K16" s="7" t="s">
        <v>1674</v>
      </c>
      <c r="L16" s="7" t="s">
        <v>105</v>
      </c>
      <c r="M16" s="7"/>
    </row>
    <row r="17" spans="1:13" ht="42" x14ac:dyDescent="0.2">
      <c r="A17" s="7" t="s">
        <v>125</v>
      </c>
      <c r="B17" s="7" t="s">
        <v>885</v>
      </c>
      <c r="C17" s="7" t="s">
        <v>138</v>
      </c>
      <c r="D17" s="7" t="s">
        <v>1717</v>
      </c>
      <c r="E17" s="7" t="s">
        <v>1718</v>
      </c>
      <c r="F17" s="7" t="s">
        <v>542</v>
      </c>
      <c r="G17" s="7" t="s">
        <v>136</v>
      </c>
      <c r="H17" s="7" t="s">
        <v>187</v>
      </c>
      <c r="I17" s="7" t="s">
        <v>1232</v>
      </c>
      <c r="J17" s="7" t="s">
        <v>1719</v>
      </c>
      <c r="K17" s="7" t="s">
        <v>1674</v>
      </c>
      <c r="L17" s="7" t="s">
        <v>105</v>
      </c>
      <c r="M17" s="7"/>
    </row>
    <row r="18" spans="1:13" ht="42" x14ac:dyDescent="0.2">
      <c r="A18" s="7" t="s">
        <v>125</v>
      </c>
      <c r="B18" s="7" t="s">
        <v>885</v>
      </c>
      <c r="C18" s="7" t="s">
        <v>138</v>
      </c>
      <c r="D18" s="7" t="s">
        <v>1720</v>
      </c>
      <c r="E18" s="7" t="s">
        <v>1718</v>
      </c>
      <c r="F18" s="7" t="s">
        <v>251</v>
      </c>
      <c r="G18" s="7" t="s">
        <v>136</v>
      </c>
      <c r="H18" s="7" t="s">
        <v>187</v>
      </c>
      <c r="I18" s="7" t="s">
        <v>1232</v>
      </c>
      <c r="J18" s="7" t="s">
        <v>1721</v>
      </c>
      <c r="K18" s="7" t="s">
        <v>1674</v>
      </c>
      <c r="L18" s="7" t="s">
        <v>105</v>
      </c>
      <c r="M18" s="7" t="s">
        <v>1722</v>
      </c>
    </row>
    <row r="19" spans="1:13" ht="42" x14ac:dyDescent="0.2">
      <c r="A19" s="7" t="s">
        <v>125</v>
      </c>
      <c r="B19" s="7" t="s">
        <v>885</v>
      </c>
      <c r="C19" s="7" t="s">
        <v>138</v>
      </c>
      <c r="D19" s="7" t="s">
        <v>1660</v>
      </c>
      <c r="E19" s="7" t="s">
        <v>1666</v>
      </c>
      <c r="F19" s="7" t="s">
        <v>844</v>
      </c>
      <c r="G19" s="7" t="s">
        <v>136</v>
      </c>
      <c r="H19" s="7" t="s">
        <v>187</v>
      </c>
      <c r="I19" s="7" t="s">
        <v>1232</v>
      </c>
      <c r="J19" s="7" t="s">
        <v>1723</v>
      </c>
      <c r="K19" s="7" t="s">
        <v>924</v>
      </c>
      <c r="L19" s="7" t="s">
        <v>105</v>
      </c>
      <c r="M19" s="7" t="s">
        <v>1724</v>
      </c>
    </row>
    <row r="20" spans="1:13" ht="42" x14ac:dyDescent="0.2">
      <c r="A20" s="7" t="s">
        <v>125</v>
      </c>
      <c r="B20" s="7" t="s">
        <v>885</v>
      </c>
      <c r="C20" s="7" t="s">
        <v>138</v>
      </c>
      <c r="D20" s="7" t="s">
        <v>1711</v>
      </c>
      <c r="E20" s="7" t="s">
        <v>1725</v>
      </c>
      <c r="F20" s="7" t="s">
        <v>850</v>
      </c>
      <c r="G20" s="7" t="s">
        <v>136</v>
      </c>
      <c r="H20" s="7" t="s">
        <v>187</v>
      </c>
      <c r="I20" s="7" t="s">
        <v>1232</v>
      </c>
      <c r="J20" s="7" t="s">
        <v>1726</v>
      </c>
      <c r="K20" s="7" t="s">
        <v>1234</v>
      </c>
      <c r="L20" s="7" t="s">
        <v>105</v>
      </c>
      <c r="M20" s="7"/>
    </row>
    <row r="21" spans="1:13" ht="70" x14ac:dyDescent="0.2">
      <c r="A21" s="7" t="s">
        <v>144</v>
      </c>
      <c r="B21" s="7" t="s">
        <v>896</v>
      </c>
      <c r="C21" s="7" t="s">
        <v>99</v>
      </c>
      <c r="D21" s="7" t="s">
        <v>1727</v>
      </c>
      <c r="E21" s="7" t="s">
        <v>1728</v>
      </c>
      <c r="F21" s="7" t="s">
        <v>1729</v>
      </c>
      <c r="G21" s="7" t="s">
        <v>154</v>
      </c>
      <c r="H21" s="7" t="s">
        <v>1730</v>
      </c>
      <c r="I21" s="7" t="s">
        <v>1731</v>
      </c>
      <c r="J21" s="7" t="s">
        <v>1732</v>
      </c>
      <c r="K21" s="7" t="s">
        <v>866</v>
      </c>
      <c r="L21" s="7" t="s">
        <v>105</v>
      </c>
      <c r="M21" s="7"/>
    </row>
    <row r="22" spans="1:13" ht="42" x14ac:dyDescent="0.2">
      <c r="A22" s="7" t="s">
        <v>144</v>
      </c>
      <c r="B22" s="7" t="s">
        <v>896</v>
      </c>
      <c r="C22" s="7" t="s">
        <v>99</v>
      </c>
      <c r="D22" s="7" t="s">
        <v>1690</v>
      </c>
      <c r="E22" s="7" t="s">
        <v>1691</v>
      </c>
      <c r="F22" s="7" t="s">
        <v>1733</v>
      </c>
      <c r="G22" s="7" t="s">
        <v>154</v>
      </c>
      <c r="H22" s="7" t="s">
        <v>187</v>
      </c>
      <c r="I22" s="7" t="s">
        <v>187</v>
      </c>
      <c r="J22" s="7" t="s">
        <v>1734</v>
      </c>
      <c r="K22" s="7" t="s">
        <v>924</v>
      </c>
      <c r="L22" s="7" t="s">
        <v>105</v>
      </c>
      <c r="M22" s="7"/>
    </row>
    <row r="23" spans="1:13" ht="42" x14ac:dyDescent="0.2">
      <c r="A23" s="7" t="s">
        <v>144</v>
      </c>
      <c r="B23" s="7" t="s">
        <v>896</v>
      </c>
      <c r="C23" s="7" t="s">
        <v>99</v>
      </c>
      <c r="D23" s="7" t="s">
        <v>1735</v>
      </c>
      <c r="E23" s="7" t="s">
        <v>1736</v>
      </c>
      <c r="F23" s="7" t="s">
        <v>1737</v>
      </c>
      <c r="G23" s="7" t="s">
        <v>154</v>
      </c>
      <c r="H23" s="7" t="s">
        <v>1738</v>
      </c>
      <c r="I23" s="7" t="s">
        <v>187</v>
      </c>
      <c r="J23" s="7" t="s">
        <v>1739</v>
      </c>
      <c r="K23" s="7" t="s">
        <v>924</v>
      </c>
      <c r="L23" s="7" t="s">
        <v>105</v>
      </c>
      <c r="M23" s="7"/>
    </row>
    <row r="24" spans="1:13" ht="42" x14ac:dyDescent="0.2">
      <c r="A24" s="7" t="s">
        <v>144</v>
      </c>
      <c r="B24" s="7" t="s">
        <v>896</v>
      </c>
      <c r="C24" s="7" t="s">
        <v>99</v>
      </c>
      <c r="D24" s="7" t="s">
        <v>1702</v>
      </c>
      <c r="E24" s="7" t="s">
        <v>1703</v>
      </c>
      <c r="F24" s="7" t="s">
        <v>1740</v>
      </c>
      <c r="G24" s="7" t="s">
        <v>154</v>
      </c>
      <c r="H24" s="7" t="s">
        <v>187</v>
      </c>
      <c r="I24" s="7" t="s">
        <v>187</v>
      </c>
      <c r="J24" s="7" t="s">
        <v>1741</v>
      </c>
      <c r="K24" s="7" t="s">
        <v>924</v>
      </c>
      <c r="L24" s="7" t="s">
        <v>105</v>
      </c>
      <c r="M24" s="7"/>
    </row>
    <row r="25" spans="1:13" ht="42" x14ac:dyDescent="0.2">
      <c r="A25" s="7" t="s">
        <v>160</v>
      </c>
      <c r="B25" s="7" t="s">
        <v>906</v>
      </c>
      <c r="C25" s="7" t="s">
        <v>99</v>
      </c>
      <c r="D25" s="7" t="s">
        <v>1742</v>
      </c>
      <c r="E25" s="7" t="s">
        <v>1743</v>
      </c>
      <c r="F25" s="7" t="s">
        <v>1744</v>
      </c>
      <c r="G25" s="7" t="s">
        <v>169</v>
      </c>
      <c r="H25" s="7" t="s">
        <v>187</v>
      </c>
      <c r="I25" s="7" t="s">
        <v>187</v>
      </c>
      <c r="J25" s="7" t="s">
        <v>1745</v>
      </c>
      <c r="K25" s="7" t="s">
        <v>924</v>
      </c>
      <c r="L25" s="7" t="s">
        <v>105</v>
      </c>
      <c r="M25" s="7"/>
    </row>
    <row r="26" spans="1:13" ht="56" x14ac:dyDescent="0.2">
      <c r="A26" s="7" t="s">
        <v>160</v>
      </c>
      <c r="B26" s="7" t="s">
        <v>906</v>
      </c>
      <c r="C26" s="7" t="s">
        <v>99</v>
      </c>
      <c r="D26" s="7" t="s">
        <v>1727</v>
      </c>
      <c r="E26" s="7" t="s">
        <v>1746</v>
      </c>
      <c r="F26" s="7" t="s">
        <v>450</v>
      </c>
      <c r="G26" s="7" t="s">
        <v>169</v>
      </c>
      <c r="H26" s="7" t="s">
        <v>1747</v>
      </c>
      <c r="I26" s="7" t="s">
        <v>1748</v>
      </c>
      <c r="J26" s="7" t="s">
        <v>1749</v>
      </c>
      <c r="K26" s="7" t="s">
        <v>924</v>
      </c>
      <c r="L26" s="7" t="s">
        <v>105</v>
      </c>
      <c r="M26" s="7"/>
    </row>
    <row r="27" spans="1:13" ht="42" x14ac:dyDescent="0.2">
      <c r="A27" s="7" t="s">
        <v>160</v>
      </c>
      <c r="B27" s="7" t="s">
        <v>906</v>
      </c>
      <c r="C27" s="7" t="s">
        <v>99</v>
      </c>
      <c r="D27" s="7" t="s">
        <v>1702</v>
      </c>
      <c r="E27" s="7" t="s">
        <v>1750</v>
      </c>
      <c r="F27" s="7" t="s">
        <v>1751</v>
      </c>
      <c r="G27" s="7" t="s">
        <v>169</v>
      </c>
      <c r="H27" s="7" t="s">
        <v>1752</v>
      </c>
      <c r="I27" s="7" t="s">
        <v>187</v>
      </c>
      <c r="J27" s="7" t="s">
        <v>1753</v>
      </c>
      <c r="K27" s="7" t="s">
        <v>1696</v>
      </c>
      <c r="L27" s="7" t="s">
        <v>105</v>
      </c>
      <c r="M27" s="7" t="s">
        <v>1754</v>
      </c>
    </row>
    <row r="28" spans="1:13" ht="42" x14ac:dyDescent="0.2">
      <c r="A28" s="7" t="s">
        <v>160</v>
      </c>
      <c r="B28" s="7" t="s">
        <v>906</v>
      </c>
      <c r="C28" s="7" t="s">
        <v>99</v>
      </c>
      <c r="D28" s="7" t="s">
        <v>1735</v>
      </c>
      <c r="E28" s="7" t="s">
        <v>1750</v>
      </c>
      <c r="F28" s="7" t="s">
        <v>450</v>
      </c>
      <c r="G28" s="7" t="s">
        <v>169</v>
      </c>
      <c r="H28" s="7" t="s">
        <v>1755</v>
      </c>
      <c r="I28" s="7" t="s">
        <v>1756</v>
      </c>
      <c r="J28" s="7" t="s">
        <v>1757</v>
      </c>
      <c r="K28" s="7" t="s">
        <v>1700</v>
      </c>
      <c r="L28" s="7" t="s">
        <v>105</v>
      </c>
      <c r="M28" s="7" t="s">
        <v>1758</v>
      </c>
    </row>
    <row r="29" spans="1:13" ht="42" x14ac:dyDescent="0.2">
      <c r="A29" s="7" t="s">
        <v>160</v>
      </c>
      <c r="B29" s="7" t="s">
        <v>906</v>
      </c>
      <c r="C29" s="7" t="s">
        <v>99</v>
      </c>
      <c r="D29" s="7" t="s">
        <v>1706</v>
      </c>
      <c r="E29" s="7" t="s">
        <v>1707</v>
      </c>
      <c r="F29" s="7" t="s">
        <v>450</v>
      </c>
      <c r="G29" s="7" t="s">
        <v>169</v>
      </c>
      <c r="H29" s="7" t="s">
        <v>187</v>
      </c>
      <c r="I29" s="7" t="s">
        <v>187</v>
      </c>
      <c r="J29" s="7" t="s">
        <v>1759</v>
      </c>
      <c r="K29" s="7" t="s">
        <v>1234</v>
      </c>
      <c r="L29" s="7" t="s">
        <v>105</v>
      </c>
      <c r="M29" s="7"/>
    </row>
    <row r="30" spans="1:13" ht="42" x14ac:dyDescent="0.2">
      <c r="A30" s="7" t="s">
        <v>160</v>
      </c>
      <c r="B30" s="7" t="s">
        <v>906</v>
      </c>
      <c r="C30" s="7" t="s">
        <v>99</v>
      </c>
      <c r="D30" s="7" t="s">
        <v>1760</v>
      </c>
      <c r="E30" s="7" t="s">
        <v>1707</v>
      </c>
      <c r="F30" s="7" t="s">
        <v>187</v>
      </c>
      <c r="G30" s="7" t="s">
        <v>169</v>
      </c>
      <c r="H30" s="7" t="s">
        <v>1761</v>
      </c>
      <c r="I30" s="7" t="s">
        <v>187</v>
      </c>
      <c r="J30" s="7" t="s">
        <v>1762</v>
      </c>
      <c r="K30" s="7" t="s">
        <v>1234</v>
      </c>
      <c r="L30" s="7" t="s">
        <v>105</v>
      </c>
      <c r="M30" s="7" t="s">
        <v>1763</v>
      </c>
    </row>
    <row r="31" spans="1:13" ht="42" x14ac:dyDescent="0.2">
      <c r="A31" s="7" t="s">
        <v>175</v>
      </c>
      <c r="B31" s="7" t="s">
        <v>915</v>
      </c>
      <c r="C31" s="7" t="s">
        <v>99</v>
      </c>
      <c r="D31" s="7" t="s">
        <v>1714</v>
      </c>
      <c r="E31" s="7" t="s">
        <v>1764</v>
      </c>
      <c r="F31" s="7" t="s">
        <v>1051</v>
      </c>
      <c r="G31" s="7" t="s">
        <v>917</v>
      </c>
      <c r="H31" s="7" t="s">
        <v>1765</v>
      </c>
      <c r="I31" s="7" t="s">
        <v>1766</v>
      </c>
      <c r="J31" s="7" t="s">
        <v>1767</v>
      </c>
      <c r="K31" s="7" t="s">
        <v>1768</v>
      </c>
      <c r="L31" s="7" t="s">
        <v>105</v>
      </c>
      <c r="M31" s="7" t="s">
        <v>1769</v>
      </c>
    </row>
    <row r="32" spans="1:13" ht="28" x14ac:dyDescent="0.2">
      <c r="A32" s="7" t="s">
        <v>175</v>
      </c>
      <c r="B32" s="7" t="s">
        <v>925</v>
      </c>
      <c r="C32" s="7" t="s">
        <v>99</v>
      </c>
      <c r="D32" s="7" t="s">
        <v>1714</v>
      </c>
      <c r="E32" s="7" t="s">
        <v>1764</v>
      </c>
      <c r="F32" s="7" t="s">
        <v>1770</v>
      </c>
      <c r="G32" s="7" t="s">
        <v>927</v>
      </c>
      <c r="H32" s="7" t="s">
        <v>1672</v>
      </c>
      <c r="I32" s="7" t="s">
        <v>187</v>
      </c>
      <c r="J32" s="7" t="s">
        <v>1771</v>
      </c>
      <c r="K32" s="7" t="s">
        <v>1768</v>
      </c>
      <c r="L32" s="7" t="s">
        <v>105</v>
      </c>
      <c r="M32" s="7" t="s">
        <v>1772</v>
      </c>
    </row>
    <row r="33" spans="1:13" ht="28" x14ac:dyDescent="0.2">
      <c r="A33" s="7" t="s">
        <v>175</v>
      </c>
      <c r="B33" s="7" t="s">
        <v>915</v>
      </c>
      <c r="C33" s="7" t="s">
        <v>99</v>
      </c>
      <c r="D33" s="7" t="s">
        <v>1773</v>
      </c>
      <c r="E33" s="7" t="s">
        <v>1774</v>
      </c>
      <c r="F33" s="7" t="s">
        <v>251</v>
      </c>
      <c r="G33" s="7" t="s">
        <v>917</v>
      </c>
      <c r="H33" s="7" t="s">
        <v>1775</v>
      </c>
      <c r="I33" s="7" t="s">
        <v>1776</v>
      </c>
      <c r="J33" s="7" t="s">
        <v>1777</v>
      </c>
      <c r="K33" s="7" t="s">
        <v>1768</v>
      </c>
      <c r="L33" s="7" t="s">
        <v>105</v>
      </c>
      <c r="M33" s="7" t="s">
        <v>1778</v>
      </c>
    </row>
    <row r="34" spans="1:13" ht="28" x14ac:dyDescent="0.2">
      <c r="A34" s="7" t="s">
        <v>175</v>
      </c>
      <c r="B34" s="7" t="s">
        <v>925</v>
      </c>
      <c r="C34" s="7" t="s">
        <v>99</v>
      </c>
      <c r="D34" s="7" t="s">
        <v>1773</v>
      </c>
      <c r="E34" s="7" t="s">
        <v>1774</v>
      </c>
      <c r="F34" s="7" t="s">
        <v>1200</v>
      </c>
      <c r="G34" s="7" t="s">
        <v>927</v>
      </c>
      <c r="H34" s="7" t="s">
        <v>1672</v>
      </c>
      <c r="I34" s="7" t="s">
        <v>187</v>
      </c>
      <c r="J34" s="7" t="s">
        <v>1779</v>
      </c>
      <c r="K34" s="7" t="s">
        <v>1768</v>
      </c>
      <c r="L34" s="7" t="s">
        <v>105</v>
      </c>
      <c r="M34" s="7" t="s">
        <v>1780</v>
      </c>
    </row>
    <row r="35" spans="1:13" ht="84" x14ac:dyDescent="0.2">
      <c r="A35" s="7" t="s">
        <v>175</v>
      </c>
      <c r="B35" s="7" t="s">
        <v>915</v>
      </c>
      <c r="C35" s="7" t="s">
        <v>99</v>
      </c>
      <c r="D35" s="7" t="s">
        <v>1711</v>
      </c>
      <c r="E35" s="7" t="s">
        <v>1707</v>
      </c>
      <c r="F35" s="7" t="s">
        <v>187</v>
      </c>
      <c r="G35" s="7" t="s">
        <v>917</v>
      </c>
      <c r="H35" s="7" t="s">
        <v>1781</v>
      </c>
      <c r="I35" s="7" t="s">
        <v>187</v>
      </c>
      <c r="J35" s="7" t="s">
        <v>1782</v>
      </c>
      <c r="K35" s="7" t="s">
        <v>1783</v>
      </c>
      <c r="L35" s="7" t="s">
        <v>105</v>
      </c>
      <c r="M35" s="7" t="s">
        <v>1784</v>
      </c>
    </row>
    <row r="36" spans="1:13" ht="42" x14ac:dyDescent="0.2">
      <c r="A36" s="7" t="s">
        <v>192</v>
      </c>
      <c r="B36" s="7" t="s">
        <v>934</v>
      </c>
      <c r="C36" s="7" t="s">
        <v>99</v>
      </c>
      <c r="D36" s="7" t="s">
        <v>1690</v>
      </c>
      <c r="E36" s="7" t="s">
        <v>1691</v>
      </c>
      <c r="F36" s="7" t="s">
        <v>844</v>
      </c>
      <c r="G36" s="7" t="s">
        <v>465</v>
      </c>
      <c r="H36" s="7" t="s">
        <v>1785</v>
      </c>
      <c r="I36" s="7" t="s">
        <v>1232</v>
      </c>
      <c r="J36" s="7" t="s">
        <v>1786</v>
      </c>
      <c r="K36" s="7" t="s">
        <v>1696</v>
      </c>
      <c r="L36" s="7" t="s">
        <v>105</v>
      </c>
      <c r="M36" s="7"/>
    </row>
    <row r="37" spans="1:13" ht="42" x14ac:dyDescent="0.2">
      <c r="A37" s="7" t="s">
        <v>192</v>
      </c>
      <c r="B37" s="7" t="s">
        <v>943</v>
      </c>
      <c r="C37" s="7" t="s">
        <v>945</v>
      </c>
      <c r="D37" s="7" t="s">
        <v>1690</v>
      </c>
      <c r="E37" s="7" t="s">
        <v>1691</v>
      </c>
      <c r="F37" s="7" t="s">
        <v>850</v>
      </c>
      <c r="G37" s="7" t="s">
        <v>465</v>
      </c>
      <c r="H37" s="7" t="s">
        <v>1787</v>
      </c>
      <c r="I37" s="7" t="s">
        <v>1232</v>
      </c>
      <c r="J37" s="7" t="s">
        <v>1788</v>
      </c>
      <c r="K37" s="7" t="s">
        <v>1700</v>
      </c>
      <c r="L37" s="7" t="s">
        <v>105</v>
      </c>
      <c r="M37" s="7"/>
    </row>
    <row r="38" spans="1:13" ht="28" x14ac:dyDescent="0.2">
      <c r="A38" s="7" t="s">
        <v>192</v>
      </c>
      <c r="B38" s="7" t="s">
        <v>934</v>
      </c>
      <c r="C38" s="7" t="s">
        <v>99</v>
      </c>
      <c r="D38" s="7" t="s">
        <v>1735</v>
      </c>
      <c r="E38" s="7" t="s">
        <v>1789</v>
      </c>
      <c r="F38" s="7" t="s">
        <v>1013</v>
      </c>
      <c r="G38" s="7" t="s">
        <v>465</v>
      </c>
      <c r="H38" s="7" t="s">
        <v>1790</v>
      </c>
      <c r="I38" s="7" t="s">
        <v>1232</v>
      </c>
      <c r="J38" s="7" t="s">
        <v>1791</v>
      </c>
      <c r="K38" s="7" t="s">
        <v>1700</v>
      </c>
      <c r="L38" s="7" t="s">
        <v>105</v>
      </c>
      <c r="M38" s="7" t="s">
        <v>1792</v>
      </c>
    </row>
    <row r="39" spans="1:13" ht="42" x14ac:dyDescent="0.2">
      <c r="A39" s="7" t="s">
        <v>192</v>
      </c>
      <c r="B39" s="7" t="s">
        <v>943</v>
      </c>
      <c r="C39" s="7" t="s">
        <v>945</v>
      </c>
      <c r="D39" s="7" t="s">
        <v>1735</v>
      </c>
      <c r="E39" s="7" t="s">
        <v>1789</v>
      </c>
      <c r="F39" s="7" t="s">
        <v>844</v>
      </c>
      <c r="G39" s="7" t="s">
        <v>465</v>
      </c>
      <c r="H39" s="7" t="s">
        <v>1793</v>
      </c>
      <c r="I39" s="7" t="s">
        <v>1232</v>
      </c>
      <c r="J39" s="7" t="s">
        <v>1791</v>
      </c>
      <c r="K39" s="7" t="s">
        <v>1700</v>
      </c>
      <c r="L39" s="7" t="s">
        <v>105</v>
      </c>
      <c r="M39" s="7" t="s">
        <v>1794</v>
      </c>
    </row>
    <row r="40" spans="1:13" ht="28" x14ac:dyDescent="0.2">
      <c r="A40" s="7" t="s">
        <v>192</v>
      </c>
      <c r="B40" s="7" t="s">
        <v>934</v>
      </c>
      <c r="C40" s="7" t="s">
        <v>99</v>
      </c>
      <c r="D40" s="7" t="s">
        <v>1795</v>
      </c>
      <c r="E40" s="7" t="s">
        <v>1789</v>
      </c>
      <c r="F40" s="7" t="s">
        <v>542</v>
      </c>
      <c r="G40" s="7" t="s">
        <v>465</v>
      </c>
      <c r="H40" s="7" t="s">
        <v>1796</v>
      </c>
      <c r="I40" s="7" t="s">
        <v>1232</v>
      </c>
      <c r="J40" s="7" t="s">
        <v>1797</v>
      </c>
      <c r="K40" s="7" t="s">
        <v>1700</v>
      </c>
      <c r="L40" s="7" t="s">
        <v>105</v>
      </c>
      <c r="M40" s="7" t="s">
        <v>1798</v>
      </c>
    </row>
    <row r="41" spans="1:13" ht="42" x14ac:dyDescent="0.2">
      <c r="A41" s="7" t="s">
        <v>192</v>
      </c>
      <c r="B41" s="7" t="s">
        <v>943</v>
      </c>
      <c r="C41" s="7" t="s">
        <v>945</v>
      </c>
      <c r="D41" s="7" t="s">
        <v>1795</v>
      </c>
      <c r="E41" s="7" t="s">
        <v>1789</v>
      </c>
      <c r="F41" s="7" t="s">
        <v>850</v>
      </c>
      <c r="G41" s="7" t="s">
        <v>465</v>
      </c>
      <c r="H41" s="7" t="s">
        <v>1799</v>
      </c>
      <c r="I41" s="7" t="s">
        <v>1232</v>
      </c>
      <c r="J41" s="7" t="s">
        <v>1800</v>
      </c>
      <c r="K41" s="7" t="s">
        <v>1696</v>
      </c>
      <c r="L41" s="7" t="s">
        <v>105</v>
      </c>
      <c r="M41" s="7"/>
    </row>
    <row r="42" spans="1:13" ht="42" x14ac:dyDescent="0.2">
      <c r="A42" s="7" t="s">
        <v>192</v>
      </c>
      <c r="B42" s="7" t="s">
        <v>934</v>
      </c>
      <c r="C42" s="7" t="s">
        <v>99</v>
      </c>
      <c r="D42" s="7" t="s">
        <v>1801</v>
      </c>
      <c r="E42" s="7" t="s">
        <v>1707</v>
      </c>
      <c r="F42" s="7" t="s">
        <v>1008</v>
      </c>
      <c r="G42" s="7" t="s">
        <v>465</v>
      </c>
      <c r="H42" s="7" t="s">
        <v>1802</v>
      </c>
      <c r="I42" s="7" t="s">
        <v>1232</v>
      </c>
      <c r="J42" s="7" t="s">
        <v>1803</v>
      </c>
      <c r="K42" s="7" t="s">
        <v>1670</v>
      </c>
      <c r="L42" s="7" t="s">
        <v>105</v>
      </c>
      <c r="M42" s="7" t="s">
        <v>1804</v>
      </c>
    </row>
    <row r="43" spans="1:13" ht="42" x14ac:dyDescent="0.2">
      <c r="A43" s="7" t="s">
        <v>192</v>
      </c>
      <c r="B43" s="7" t="s">
        <v>943</v>
      </c>
      <c r="C43" s="7" t="s">
        <v>945</v>
      </c>
      <c r="D43" s="7" t="s">
        <v>1801</v>
      </c>
      <c r="E43" s="7" t="s">
        <v>1707</v>
      </c>
      <c r="F43" s="7" t="s">
        <v>1805</v>
      </c>
      <c r="G43" s="7" t="s">
        <v>465</v>
      </c>
      <c r="H43" s="7" t="s">
        <v>1806</v>
      </c>
      <c r="I43" s="7" t="s">
        <v>1232</v>
      </c>
      <c r="J43" s="7" t="s">
        <v>1807</v>
      </c>
      <c r="K43" s="7" t="s">
        <v>1808</v>
      </c>
      <c r="L43" s="7" t="s">
        <v>105</v>
      </c>
      <c r="M43" s="7"/>
    </row>
    <row r="44" spans="1:13" ht="42" x14ac:dyDescent="0.2">
      <c r="A44" s="7" t="s">
        <v>192</v>
      </c>
      <c r="B44" s="7" t="s">
        <v>934</v>
      </c>
      <c r="C44" s="7" t="s">
        <v>99</v>
      </c>
      <c r="D44" s="7" t="s">
        <v>1711</v>
      </c>
      <c r="E44" s="7" t="s">
        <v>1707</v>
      </c>
      <c r="F44" s="7" t="s">
        <v>1046</v>
      </c>
      <c r="G44" s="7" t="s">
        <v>941</v>
      </c>
      <c r="H44" s="7" t="s">
        <v>1809</v>
      </c>
      <c r="I44" s="7" t="s">
        <v>1232</v>
      </c>
      <c r="J44" s="7" t="s">
        <v>1810</v>
      </c>
      <c r="K44" s="7" t="s">
        <v>1670</v>
      </c>
      <c r="L44" s="7" t="s">
        <v>105</v>
      </c>
      <c r="M44" s="7" t="s">
        <v>1811</v>
      </c>
    </row>
    <row r="45" spans="1:13" ht="42" x14ac:dyDescent="0.2">
      <c r="A45" s="7" t="s">
        <v>192</v>
      </c>
      <c r="B45" s="7" t="s">
        <v>943</v>
      </c>
      <c r="C45" s="7" t="s">
        <v>945</v>
      </c>
      <c r="D45" s="7" t="s">
        <v>1711</v>
      </c>
      <c r="E45" s="7" t="s">
        <v>1707</v>
      </c>
      <c r="F45" s="7" t="s">
        <v>999</v>
      </c>
      <c r="G45" s="7" t="s">
        <v>941</v>
      </c>
      <c r="H45" s="7" t="s">
        <v>1812</v>
      </c>
      <c r="I45" s="7" t="s">
        <v>1232</v>
      </c>
      <c r="J45" s="7" t="s">
        <v>1813</v>
      </c>
      <c r="K45" s="7" t="s">
        <v>1808</v>
      </c>
      <c r="L45" s="7" t="s">
        <v>105</v>
      </c>
      <c r="M45" s="7"/>
    </row>
    <row r="46" spans="1:13" ht="42" x14ac:dyDescent="0.2">
      <c r="A46" s="7" t="s">
        <v>192</v>
      </c>
      <c r="B46" s="7" t="s">
        <v>934</v>
      </c>
      <c r="C46" s="7" t="s">
        <v>99</v>
      </c>
      <c r="D46" s="7" t="s">
        <v>1814</v>
      </c>
      <c r="E46" s="7" t="s">
        <v>1815</v>
      </c>
      <c r="F46" s="7" t="s">
        <v>1232</v>
      </c>
      <c r="G46" s="7" t="s">
        <v>465</v>
      </c>
      <c r="H46" s="7" t="s">
        <v>1816</v>
      </c>
      <c r="I46" s="7" t="s">
        <v>1232</v>
      </c>
      <c r="J46" s="7" t="s">
        <v>1817</v>
      </c>
      <c r="K46" s="7" t="s">
        <v>1696</v>
      </c>
      <c r="L46" s="7" t="s">
        <v>105</v>
      </c>
      <c r="M46" s="7" t="s">
        <v>1818</v>
      </c>
    </row>
    <row r="47" spans="1:13" ht="42" x14ac:dyDescent="0.2">
      <c r="A47" s="7" t="s">
        <v>192</v>
      </c>
      <c r="B47" s="7" t="s">
        <v>943</v>
      </c>
      <c r="C47" s="7" t="s">
        <v>945</v>
      </c>
      <c r="D47" s="7" t="s">
        <v>1814</v>
      </c>
      <c r="E47" s="7" t="s">
        <v>1815</v>
      </c>
      <c r="F47" s="7" t="s">
        <v>1232</v>
      </c>
      <c r="G47" s="7" t="s">
        <v>465</v>
      </c>
      <c r="H47" s="7" t="s">
        <v>1819</v>
      </c>
      <c r="I47" s="7" t="s">
        <v>1232</v>
      </c>
      <c r="J47" s="7" t="s">
        <v>1820</v>
      </c>
      <c r="K47" s="7" t="s">
        <v>1700</v>
      </c>
      <c r="L47" s="7" t="s">
        <v>105</v>
      </c>
      <c r="M47" s="7"/>
    </row>
    <row r="48" spans="1:13" ht="56" x14ac:dyDescent="0.2">
      <c r="A48" s="7" t="s">
        <v>211</v>
      </c>
      <c r="B48" s="7" t="s">
        <v>952</v>
      </c>
      <c r="C48" s="7" t="s">
        <v>99</v>
      </c>
      <c r="D48" s="7" t="s">
        <v>1727</v>
      </c>
      <c r="E48" s="7" t="s">
        <v>1728</v>
      </c>
      <c r="F48" s="7" t="s">
        <v>203</v>
      </c>
      <c r="G48" s="7" t="s">
        <v>954</v>
      </c>
      <c r="H48" s="7" t="s">
        <v>1821</v>
      </c>
      <c r="I48" s="7" t="s">
        <v>1822</v>
      </c>
      <c r="J48" s="7" t="s">
        <v>1823</v>
      </c>
      <c r="K48" s="7" t="s">
        <v>1670</v>
      </c>
      <c r="L48" s="7" t="s">
        <v>105</v>
      </c>
      <c r="M48" s="7"/>
    </row>
    <row r="49" spans="1:13" ht="28" x14ac:dyDescent="0.2">
      <c r="A49" s="7" t="s">
        <v>211</v>
      </c>
      <c r="B49" s="7" t="s">
        <v>964</v>
      </c>
      <c r="C49" s="7" t="s">
        <v>99</v>
      </c>
      <c r="D49" s="7" t="s">
        <v>1727</v>
      </c>
      <c r="E49" s="7" t="s">
        <v>1728</v>
      </c>
      <c r="F49" s="7" t="s">
        <v>999</v>
      </c>
      <c r="G49" s="7" t="s">
        <v>965</v>
      </c>
      <c r="H49" s="7" t="s">
        <v>1672</v>
      </c>
      <c r="I49" s="7" t="s">
        <v>187</v>
      </c>
      <c r="J49" s="7" t="s">
        <v>1824</v>
      </c>
      <c r="K49" s="7" t="s">
        <v>1234</v>
      </c>
      <c r="L49" s="7" t="s">
        <v>105</v>
      </c>
      <c r="M49" s="7"/>
    </row>
    <row r="50" spans="1:13" ht="42" x14ac:dyDescent="0.2">
      <c r="A50" s="7" t="s">
        <v>227</v>
      </c>
      <c r="B50" s="7" t="s">
        <v>975</v>
      </c>
      <c r="C50" s="7" t="s">
        <v>99</v>
      </c>
      <c r="D50" s="7" t="s">
        <v>1727</v>
      </c>
      <c r="E50" s="7" t="s">
        <v>1728</v>
      </c>
      <c r="F50" s="7" t="s">
        <v>1744</v>
      </c>
      <c r="G50" s="7" t="s">
        <v>852</v>
      </c>
      <c r="H50" s="7" t="s">
        <v>1825</v>
      </c>
      <c r="I50" s="7" t="s">
        <v>1826</v>
      </c>
      <c r="J50" s="7" t="s">
        <v>1827</v>
      </c>
      <c r="K50" s="7" t="s">
        <v>981</v>
      </c>
      <c r="L50" s="7" t="s">
        <v>105</v>
      </c>
      <c r="M50" s="7" t="s">
        <v>1828</v>
      </c>
    </row>
    <row r="51" spans="1:13" ht="42" x14ac:dyDescent="0.2">
      <c r="A51" s="7" t="s">
        <v>227</v>
      </c>
      <c r="B51" s="7" t="s">
        <v>982</v>
      </c>
      <c r="C51" s="7" t="s">
        <v>99</v>
      </c>
      <c r="D51" s="7" t="s">
        <v>1727</v>
      </c>
      <c r="E51" s="7" t="s">
        <v>1728</v>
      </c>
      <c r="F51" s="7" t="s">
        <v>927</v>
      </c>
      <c r="G51" s="7" t="s">
        <v>97</v>
      </c>
      <c r="H51" s="7" t="s">
        <v>1829</v>
      </c>
      <c r="I51" s="7" t="s">
        <v>1826</v>
      </c>
      <c r="J51" s="7" t="s">
        <v>1830</v>
      </c>
      <c r="K51" s="7" t="s">
        <v>981</v>
      </c>
      <c r="L51" s="7" t="s">
        <v>105</v>
      </c>
      <c r="M51" s="7"/>
    </row>
    <row r="52" spans="1:13" ht="28" x14ac:dyDescent="0.2">
      <c r="A52" s="7" t="s">
        <v>227</v>
      </c>
      <c r="B52" s="7" t="s">
        <v>975</v>
      </c>
      <c r="C52" s="7" t="s">
        <v>99</v>
      </c>
      <c r="D52" s="7" t="s">
        <v>1702</v>
      </c>
      <c r="E52" s="7" t="s">
        <v>1831</v>
      </c>
      <c r="F52" s="7" t="s">
        <v>1832</v>
      </c>
      <c r="G52" s="7" t="s">
        <v>852</v>
      </c>
      <c r="H52" s="7" t="s">
        <v>1833</v>
      </c>
      <c r="I52" s="7" t="s">
        <v>1826</v>
      </c>
      <c r="J52" s="7" t="s">
        <v>1834</v>
      </c>
      <c r="K52" s="7" t="s">
        <v>981</v>
      </c>
      <c r="L52" s="7" t="s">
        <v>105</v>
      </c>
      <c r="M52" s="7"/>
    </row>
    <row r="53" spans="1:13" ht="28" x14ac:dyDescent="0.2">
      <c r="A53" s="7" t="s">
        <v>227</v>
      </c>
      <c r="B53" s="7" t="s">
        <v>982</v>
      </c>
      <c r="C53" s="7" t="s">
        <v>99</v>
      </c>
      <c r="D53" s="7" t="s">
        <v>1702</v>
      </c>
      <c r="E53" s="7" t="s">
        <v>1831</v>
      </c>
      <c r="F53" s="7" t="s">
        <v>702</v>
      </c>
      <c r="G53" s="7" t="s">
        <v>97</v>
      </c>
      <c r="H53" s="7" t="s">
        <v>1835</v>
      </c>
      <c r="I53" s="7" t="s">
        <v>1826</v>
      </c>
      <c r="J53" s="7" t="s">
        <v>1834</v>
      </c>
      <c r="K53" s="7" t="s">
        <v>981</v>
      </c>
      <c r="L53" s="7" t="s">
        <v>105</v>
      </c>
      <c r="M53" s="7"/>
    </row>
    <row r="54" spans="1:13" ht="28" x14ac:dyDescent="0.2">
      <c r="A54" s="7" t="s">
        <v>227</v>
      </c>
      <c r="B54" s="7" t="s">
        <v>975</v>
      </c>
      <c r="C54" s="7" t="s">
        <v>99</v>
      </c>
      <c r="D54" s="7" t="s">
        <v>1735</v>
      </c>
      <c r="E54" s="7" t="s">
        <v>1831</v>
      </c>
      <c r="F54" s="7" t="s">
        <v>450</v>
      </c>
      <c r="G54" s="7" t="s">
        <v>852</v>
      </c>
      <c r="H54" s="7" t="s">
        <v>1836</v>
      </c>
      <c r="I54" s="7" t="s">
        <v>187</v>
      </c>
      <c r="J54" s="7" t="s">
        <v>1837</v>
      </c>
      <c r="K54" s="7" t="s">
        <v>981</v>
      </c>
      <c r="L54" s="7" t="s">
        <v>105</v>
      </c>
      <c r="M54" s="7"/>
    </row>
    <row r="55" spans="1:13" ht="28" x14ac:dyDescent="0.2">
      <c r="A55" s="7" t="s">
        <v>227</v>
      </c>
      <c r="B55" s="7" t="s">
        <v>982</v>
      </c>
      <c r="C55" s="7" t="s">
        <v>99</v>
      </c>
      <c r="D55" s="7" t="s">
        <v>1735</v>
      </c>
      <c r="E55" s="7" t="s">
        <v>1831</v>
      </c>
      <c r="F55" s="7" t="s">
        <v>851</v>
      </c>
      <c r="G55" s="7" t="s">
        <v>97</v>
      </c>
      <c r="H55" s="7" t="s">
        <v>1838</v>
      </c>
      <c r="I55" s="7" t="s">
        <v>187</v>
      </c>
      <c r="J55" s="7" t="s">
        <v>1837</v>
      </c>
      <c r="K55" s="7" t="s">
        <v>981</v>
      </c>
      <c r="L55" s="7" t="s">
        <v>105</v>
      </c>
      <c r="M55" s="7"/>
    </row>
    <row r="56" spans="1:13" ht="56" x14ac:dyDescent="0.2">
      <c r="A56" s="7" t="s">
        <v>244</v>
      </c>
      <c r="B56" s="7" t="s">
        <v>988</v>
      </c>
      <c r="C56" s="7" t="s">
        <v>253</v>
      </c>
      <c r="D56" s="7" t="s">
        <v>1714</v>
      </c>
      <c r="E56" s="7" t="s">
        <v>1839</v>
      </c>
      <c r="F56" s="7" t="s">
        <v>251</v>
      </c>
      <c r="G56" s="7" t="s">
        <v>251</v>
      </c>
      <c r="H56" s="7" t="s">
        <v>1840</v>
      </c>
      <c r="I56" s="7" t="s">
        <v>1232</v>
      </c>
      <c r="J56" s="7" t="s">
        <v>1841</v>
      </c>
      <c r="K56" s="7" t="s">
        <v>1842</v>
      </c>
      <c r="L56" s="7" t="s">
        <v>105</v>
      </c>
      <c r="M56" s="7" t="s">
        <v>1843</v>
      </c>
    </row>
    <row r="57" spans="1:13" ht="42" x14ac:dyDescent="0.2">
      <c r="A57" s="7" t="s">
        <v>258</v>
      </c>
      <c r="B57" s="7" t="s">
        <v>996</v>
      </c>
      <c r="C57" s="7" t="s">
        <v>99</v>
      </c>
      <c r="D57" s="7" t="s">
        <v>1660</v>
      </c>
      <c r="E57" s="7" t="s">
        <v>1844</v>
      </c>
      <c r="F57" s="7" t="s">
        <v>1845</v>
      </c>
      <c r="G57" s="7" t="s">
        <v>265</v>
      </c>
      <c r="H57" s="7" t="s">
        <v>187</v>
      </c>
      <c r="I57" s="7" t="s">
        <v>187</v>
      </c>
      <c r="J57" s="7" t="s">
        <v>1846</v>
      </c>
      <c r="K57" s="7" t="s">
        <v>1847</v>
      </c>
      <c r="L57" s="7" t="s">
        <v>105</v>
      </c>
      <c r="M57" s="7" t="s">
        <v>1848</v>
      </c>
    </row>
    <row r="58" spans="1:13" ht="42" x14ac:dyDescent="0.2">
      <c r="A58" s="7" t="s">
        <v>258</v>
      </c>
      <c r="B58" s="7" t="s">
        <v>996</v>
      </c>
      <c r="C58" s="7" t="s">
        <v>99</v>
      </c>
      <c r="D58" s="7" t="s">
        <v>1849</v>
      </c>
      <c r="E58" s="7" t="s">
        <v>1677</v>
      </c>
      <c r="F58" s="7" t="s">
        <v>843</v>
      </c>
      <c r="G58" s="7" t="s">
        <v>265</v>
      </c>
      <c r="H58" s="7" t="s">
        <v>187</v>
      </c>
      <c r="I58" s="7" t="s">
        <v>187</v>
      </c>
      <c r="J58" s="7" t="s">
        <v>1850</v>
      </c>
      <c r="K58" s="7" t="s">
        <v>1847</v>
      </c>
      <c r="L58" s="7" t="s">
        <v>105</v>
      </c>
      <c r="M58" s="7" t="s">
        <v>1851</v>
      </c>
    </row>
    <row r="59" spans="1:13" ht="42" x14ac:dyDescent="0.2">
      <c r="A59" s="7" t="s">
        <v>258</v>
      </c>
      <c r="B59" s="7" t="s">
        <v>996</v>
      </c>
      <c r="C59" s="7" t="s">
        <v>99</v>
      </c>
      <c r="D59" s="7" t="s">
        <v>1735</v>
      </c>
      <c r="E59" s="7" t="s">
        <v>1852</v>
      </c>
      <c r="F59" s="7" t="s">
        <v>917</v>
      </c>
      <c r="G59" s="7" t="s">
        <v>265</v>
      </c>
      <c r="H59" s="7" t="s">
        <v>1853</v>
      </c>
      <c r="I59" s="7" t="s">
        <v>1854</v>
      </c>
      <c r="J59" s="7" t="s">
        <v>1855</v>
      </c>
      <c r="K59" s="7" t="s">
        <v>1847</v>
      </c>
      <c r="L59" s="7" t="s">
        <v>105</v>
      </c>
      <c r="M59" s="7" t="s">
        <v>1856</v>
      </c>
    </row>
    <row r="60" spans="1:13" ht="56" x14ac:dyDescent="0.2">
      <c r="A60" s="7" t="s">
        <v>271</v>
      </c>
      <c r="B60" s="7" t="s">
        <v>1004</v>
      </c>
      <c r="C60" s="7" t="s">
        <v>99</v>
      </c>
      <c r="D60" s="7" t="s">
        <v>1727</v>
      </c>
      <c r="E60" s="7" t="s">
        <v>1857</v>
      </c>
      <c r="F60" s="7" t="s">
        <v>1708</v>
      </c>
      <c r="G60" s="7" t="s">
        <v>1006</v>
      </c>
      <c r="H60" s="7" t="s">
        <v>1858</v>
      </c>
      <c r="I60" s="7" t="s">
        <v>1859</v>
      </c>
      <c r="J60" s="7" t="s">
        <v>1860</v>
      </c>
      <c r="K60" s="7" t="s">
        <v>1861</v>
      </c>
      <c r="L60" s="7" t="s">
        <v>105</v>
      </c>
      <c r="M60" s="7" t="s">
        <v>1862</v>
      </c>
    </row>
    <row r="61" spans="1:13" ht="42" x14ac:dyDescent="0.2">
      <c r="A61" s="7" t="s">
        <v>271</v>
      </c>
      <c r="B61" s="7" t="s">
        <v>1016</v>
      </c>
      <c r="C61" s="7" t="s">
        <v>253</v>
      </c>
      <c r="D61" s="7" t="s">
        <v>1727</v>
      </c>
      <c r="E61" s="7" t="s">
        <v>1857</v>
      </c>
      <c r="F61" s="7" t="s">
        <v>999</v>
      </c>
      <c r="G61" s="7" t="s">
        <v>1018</v>
      </c>
      <c r="H61" s="7" t="s">
        <v>1863</v>
      </c>
      <c r="I61" s="7" t="s">
        <v>1864</v>
      </c>
      <c r="J61" s="7" t="s">
        <v>1865</v>
      </c>
      <c r="K61" s="7" t="s">
        <v>1700</v>
      </c>
      <c r="L61" s="7" t="s">
        <v>105</v>
      </c>
      <c r="M61" s="7" t="s">
        <v>1866</v>
      </c>
    </row>
    <row r="62" spans="1:13" ht="56" x14ac:dyDescent="0.2">
      <c r="A62" s="7" t="s">
        <v>271</v>
      </c>
      <c r="B62" s="7" t="s">
        <v>1004</v>
      </c>
      <c r="C62" s="7" t="s">
        <v>99</v>
      </c>
      <c r="D62" s="7" t="s">
        <v>1714</v>
      </c>
      <c r="E62" s="7" t="s">
        <v>1867</v>
      </c>
      <c r="F62" s="7" t="s">
        <v>1022</v>
      </c>
      <c r="G62" s="7" t="s">
        <v>1006</v>
      </c>
      <c r="H62" s="7" t="s">
        <v>1868</v>
      </c>
      <c r="I62" s="7" t="s">
        <v>187</v>
      </c>
      <c r="J62" s="7" t="s">
        <v>1869</v>
      </c>
      <c r="K62" s="7" t="s">
        <v>1870</v>
      </c>
      <c r="L62" s="7" t="s">
        <v>105</v>
      </c>
      <c r="M62" s="7" t="s">
        <v>1871</v>
      </c>
    </row>
    <row r="63" spans="1:13" ht="42" x14ac:dyDescent="0.2">
      <c r="A63" s="7" t="s">
        <v>271</v>
      </c>
      <c r="B63" s="7" t="s">
        <v>1016</v>
      </c>
      <c r="C63" s="7" t="s">
        <v>253</v>
      </c>
      <c r="D63" s="7" t="s">
        <v>1714</v>
      </c>
      <c r="E63" s="7" t="s">
        <v>1867</v>
      </c>
      <c r="F63" s="7" t="s">
        <v>1252</v>
      </c>
      <c r="G63" s="7" t="s">
        <v>1018</v>
      </c>
      <c r="H63" s="7" t="s">
        <v>1868</v>
      </c>
      <c r="I63" s="7" t="s">
        <v>187</v>
      </c>
      <c r="J63" s="7" t="s">
        <v>1872</v>
      </c>
      <c r="K63" s="7" t="s">
        <v>1870</v>
      </c>
      <c r="L63" s="7" t="s">
        <v>105</v>
      </c>
      <c r="M63" s="7" t="s">
        <v>1873</v>
      </c>
    </row>
    <row r="64" spans="1:13" ht="28" x14ac:dyDescent="0.2">
      <c r="A64" s="7" t="s">
        <v>271</v>
      </c>
      <c r="B64" s="7" t="s">
        <v>1004</v>
      </c>
      <c r="C64" s="7" t="s">
        <v>99</v>
      </c>
      <c r="D64" s="7" t="s">
        <v>1702</v>
      </c>
      <c r="E64" s="7" t="s">
        <v>1874</v>
      </c>
      <c r="F64" s="7" t="s">
        <v>169</v>
      </c>
      <c r="G64" s="7" t="s">
        <v>1006</v>
      </c>
      <c r="H64" s="7" t="s">
        <v>1875</v>
      </c>
      <c r="I64" s="7" t="s">
        <v>187</v>
      </c>
      <c r="J64" s="7" t="s">
        <v>1876</v>
      </c>
      <c r="K64" s="7" t="s">
        <v>1700</v>
      </c>
      <c r="L64" s="7" t="s">
        <v>105</v>
      </c>
      <c r="M64" s="7" t="s">
        <v>1877</v>
      </c>
    </row>
    <row r="65" spans="1:13" ht="28" x14ac:dyDescent="0.2">
      <c r="A65" s="7" t="s">
        <v>271</v>
      </c>
      <c r="B65" s="7" t="s">
        <v>1016</v>
      </c>
      <c r="C65" s="7" t="s">
        <v>253</v>
      </c>
      <c r="D65" s="7" t="s">
        <v>1702</v>
      </c>
      <c r="E65" s="7" t="s">
        <v>1874</v>
      </c>
      <c r="F65" s="7" t="s">
        <v>203</v>
      </c>
      <c r="G65" s="7" t="s">
        <v>1018</v>
      </c>
      <c r="H65" s="7" t="s">
        <v>1875</v>
      </c>
      <c r="I65" s="7" t="s">
        <v>187</v>
      </c>
      <c r="J65" s="7" t="s">
        <v>1878</v>
      </c>
      <c r="K65" s="7" t="s">
        <v>1700</v>
      </c>
      <c r="L65" s="7" t="s">
        <v>105</v>
      </c>
      <c r="M65" s="7" t="s">
        <v>1879</v>
      </c>
    </row>
    <row r="66" spans="1:13" ht="28" x14ac:dyDescent="0.2">
      <c r="A66" s="7" t="s">
        <v>271</v>
      </c>
      <c r="B66" s="7" t="s">
        <v>1004</v>
      </c>
      <c r="C66" s="7" t="s">
        <v>99</v>
      </c>
      <c r="D66" s="7" t="s">
        <v>1735</v>
      </c>
      <c r="E66" s="7" t="s">
        <v>1874</v>
      </c>
      <c r="F66" s="7" t="s">
        <v>380</v>
      </c>
      <c r="G66" s="7" t="s">
        <v>1006</v>
      </c>
      <c r="H66" s="7" t="s">
        <v>1880</v>
      </c>
      <c r="I66" s="7" t="s">
        <v>187</v>
      </c>
      <c r="J66" s="7" t="s">
        <v>1881</v>
      </c>
      <c r="K66" s="7" t="s">
        <v>1700</v>
      </c>
      <c r="L66" s="7" t="s">
        <v>105</v>
      </c>
      <c r="M66" s="7" t="s">
        <v>1882</v>
      </c>
    </row>
    <row r="67" spans="1:13" ht="28" x14ac:dyDescent="0.2">
      <c r="A67" s="7" t="s">
        <v>271</v>
      </c>
      <c r="B67" s="7" t="s">
        <v>1016</v>
      </c>
      <c r="C67" s="7" t="s">
        <v>253</v>
      </c>
      <c r="D67" s="7" t="s">
        <v>1735</v>
      </c>
      <c r="E67" s="7" t="s">
        <v>1874</v>
      </c>
      <c r="F67" s="7" t="s">
        <v>1883</v>
      </c>
      <c r="G67" s="7" t="s">
        <v>1018</v>
      </c>
      <c r="H67" s="7" t="s">
        <v>1880</v>
      </c>
      <c r="I67" s="7" t="s">
        <v>187</v>
      </c>
      <c r="J67" s="7" t="s">
        <v>1884</v>
      </c>
      <c r="K67" s="7" t="s">
        <v>1700</v>
      </c>
      <c r="L67" s="7" t="s">
        <v>105</v>
      </c>
      <c r="M67" s="7" t="s">
        <v>1885</v>
      </c>
    </row>
    <row r="68" spans="1:13" ht="42" x14ac:dyDescent="0.2">
      <c r="A68" s="7" t="s">
        <v>271</v>
      </c>
      <c r="B68" s="7" t="s">
        <v>1004</v>
      </c>
      <c r="C68" s="7" t="s">
        <v>99</v>
      </c>
      <c r="D68" s="7" t="s">
        <v>1727</v>
      </c>
      <c r="E68" s="7" t="s">
        <v>1886</v>
      </c>
      <c r="F68" s="7" t="s">
        <v>1883</v>
      </c>
      <c r="G68" s="7" t="s">
        <v>1087</v>
      </c>
      <c r="H68" s="7" t="s">
        <v>1887</v>
      </c>
      <c r="I68" s="7" t="s">
        <v>1859</v>
      </c>
      <c r="J68" s="7" t="s">
        <v>1888</v>
      </c>
      <c r="K68" s="7" t="s">
        <v>1861</v>
      </c>
      <c r="L68" s="7" t="s">
        <v>105</v>
      </c>
      <c r="M68" s="7" t="s">
        <v>1889</v>
      </c>
    </row>
    <row r="69" spans="1:13" ht="28" x14ac:dyDescent="0.2">
      <c r="A69" s="7" t="s">
        <v>271</v>
      </c>
      <c r="B69" s="7" t="s">
        <v>1016</v>
      </c>
      <c r="C69" s="7" t="s">
        <v>253</v>
      </c>
      <c r="D69" s="7" t="s">
        <v>1727</v>
      </c>
      <c r="E69" s="7" t="s">
        <v>1890</v>
      </c>
      <c r="F69" s="7" t="s">
        <v>1013</v>
      </c>
      <c r="G69" s="7" t="s">
        <v>203</v>
      </c>
      <c r="H69" s="7" t="s">
        <v>1891</v>
      </c>
      <c r="I69" s="7" t="s">
        <v>1864</v>
      </c>
      <c r="J69" s="7" t="s">
        <v>1892</v>
      </c>
      <c r="K69" s="7" t="s">
        <v>1700</v>
      </c>
      <c r="L69" s="7" t="s">
        <v>105</v>
      </c>
      <c r="M69" s="7" t="s">
        <v>1893</v>
      </c>
    </row>
    <row r="70" spans="1:13" ht="42" x14ac:dyDescent="0.2">
      <c r="A70" s="7" t="s">
        <v>271</v>
      </c>
      <c r="B70" s="7" t="s">
        <v>1004</v>
      </c>
      <c r="C70" s="7" t="s">
        <v>99</v>
      </c>
      <c r="D70" s="7" t="s">
        <v>1714</v>
      </c>
      <c r="E70" s="7" t="s">
        <v>1894</v>
      </c>
      <c r="F70" s="7" t="s">
        <v>1074</v>
      </c>
      <c r="G70" s="7" t="s">
        <v>1087</v>
      </c>
      <c r="H70" s="7" t="s">
        <v>1895</v>
      </c>
      <c r="I70" s="7" t="s">
        <v>187</v>
      </c>
      <c r="J70" s="7" t="s">
        <v>1896</v>
      </c>
      <c r="K70" s="7" t="s">
        <v>1861</v>
      </c>
      <c r="L70" s="7" t="s">
        <v>105</v>
      </c>
      <c r="M70" s="7" t="s">
        <v>1897</v>
      </c>
    </row>
    <row r="71" spans="1:13" ht="28" x14ac:dyDescent="0.2">
      <c r="A71" s="7" t="s">
        <v>271</v>
      </c>
      <c r="B71" s="7" t="s">
        <v>1016</v>
      </c>
      <c r="C71" s="7" t="s">
        <v>253</v>
      </c>
      <c r="D71" s="7" t="s">
        <v>1714</v>
      </c>
      <c r="E71" s="7" t="s">
        <v>1894</v>
      </c>
      <c r="F71" s="7" t="s">
        <v>1770</v>
      </c>
      <c r="G71" s="7" t="s">
        <v>203</v>
      </c>
      <c r="H71" s="7" t="s">
        <v>1895</v>
      </c>
      <c r="I71" s="7" t="s">
        <v>187</v>
      </c>
      <c r="J71" s="7" t="s">
        <v>1898</v>
      </c>
      <c r="K71" s="7" t="s">
        <v>1700</v>
      </c>
      <c r="L71" s="7" t="s">
        <v>105</v>
      </c>
      <c r="M71" s="7" t="s">
        <v>1899</v>
      </c>
    </row>
    <row r="72" spans="1:13" ht="42" x14ac:dyDescent="0.2">
      <c r="A72" s="7" t="s">
        <v>271</v>
      </c>
      <c r="B72" s="7" t="s">
        <v>1004</v>
      </c>
      <c r="C72" s="7" t="s">
        <v>99</v>
      </c>
      <c r="D72" s="7" t="s">
        <v>1727</v>
      </c>
      <c r="E72" s="7" t="s">
        <v>1900</v>
      </c>
      <c r="F72" s="7" t="s">
        <v>136</v>
      </c>
      <c r="G72" s="7" t="s">
        <v>853</v>
      </c>
      <c r="H72" s="7" t="s">
        <v>1901</v>
      </c>
      <c r="I72" s="7" t="s">
        <v>1902</v>
      </c>
      <c r="J72" s="7" t="s">
        <v>1903</v>
      </c>
      <c r="K72" s="7" t="s">
        <v>1700</v>
      </c>
      <c r="L72" s="7" t="s">
        <v>105</v>
      </c>
      <c r="M72" s="7" t="s">
        <v>1904</v>
      </c>
    </row>
    <row r="73" spans="1:13" ht="28" x14ac:dyDescent="0.2">
      <c r="A73" s="7" t="s">
        <v>271</v>
      </c>
      <c r="B73" s="7" t="s">
        <v>1016</v>
      </c>
      <c r="C73" s="7" t="s">
        <v>253</v>
      </c>
      <c r="D73" s="7" t="s">
        <v>1727</v>
      </c>
      <c r="E73" s="7" t="s">
        <v>1905</v>
      </c>
      <c r="F73" s="7" t="s">
        <v>1013</v>
      </c>
      <c r="G73" s="7" t="s">
        <v>1845</v>
      </c>
      <c r="H73" s="7" t="s">
        <v>1906</v>
      </c>
      <c r="I73" s="7" t="s">
        <v>1902</v>
      </c>
      <c r="J73" s="7" t="s">
        <v>1907</v>
      </c>
      <c r="K73" s="7" t="s">
        <v>1700</v>
      </c>
      <c r="L73" s="7" t="s">
        <v>105</v>
      </c>
      <c r="M73" s="7" t="s">
        <v>1908</v>
      </c>
    </row>
    <row r="74" spans="1:13" ht="56" x14ac:dyDescent="0.2">
      <c r="A74" s="7" t="s">
        <v>287</v>
      </c>
      <c r="B74" s="7" t="s">
        <v>1025</v>
      </c>
      <c r="C74" s="7" t="s">
        <v>99</v>
      </c>
      <c r="D74" s="7" t="s">
        <v>1909</v>
      </c>
      <c r="E74" s="7" t="s">
        <v>1910</v>
      </c>
      <c r="F74" s="7" t="s">
        <v>1911</v>
      </c>
      <c r="G74" s="7" t="s">
        <v>1027</v>
      </c>
      <c r="H74" s="7" t="s">
        <v>1912</v>
      </c>
      <c r="I74" s="7" t="s">
        <v>1913</v>
      </c>
      <c r="J74" s="7" t="s">
        <v>1914</v>
      </c>
      <c r="K74" s="7" t="s">
        <v>1234</v>
      </c>
      <c r="L74" s="7" t="s">
        <v>105</v>
      </c>
      <c r="M74" s="7" t="s">
        <v>1915</v>
      </c>
    </row>
    <row r="75" spans="1:13" ht="42" x14ac:dyDescent="0.2">
      <c r="A75" s="7" t="s">
        <v>287</v>
      </c>
      <c r="B75" s="7" t="s">
        <v>1034</v>
      </c>
      <c r="C75" s="7" t="s">
        <v>99</v>
      </c>
      <c r="D75" s="7" t="s">
        <v>1909</v>
      </c>
      <c r="E75" s="7" t="s">
        <v>1910</v>
      </c>
      <c r="F75" s="7" t="s">
        <v>346</v>
      </c>
      <c r="G75" s="7" t="s">
        <v>1036</v>
      </c>
      <c r="H75" s="7" t="s">
        <v>1916</v>
      </c>
      <c r="I75" s="7" t="s">
        <v>1913</v>
      </c>
      <c r="J75" s="7" t="s">
        <v>1917</v>
      </c>
      <c r="K75" s="7" t="s">
        <v>1234</v>
      </c>
      <c r="L75" s="7" t="s">
        <v>105</v>
      </c>
      <c r="M75" s="7" t="s">
        <v>1918</v>
      </c>
    </row>
    <row r="76" spans="1:13" ht="28" x14ac:dyDescent="0.2">
      <c r="A76" s="7" t="s">
        <v>303</v>
      </c>
      <c r="B76" s="7" t="s">
        <v>1042</v>
      </c>
      <c r="C76" s="7" t="s">
        <v>99</v>
      </c>
      <c r="D76" s="7" t="s">
        <v>1760</v>
      </c>
      <c r="E76" s="7" t="s">
        <v>1707</v>
      </c>
      <c r="F76" s="7" t="s">
        <v>1832</v>
      </c>
      <c r="G76" s="7" t="s">
        <v>1087</v>
      </c>
      <c r="H76" s="7" t="s">
        <v>1919</v>
      </c>
      <c r="I76" s="7" t="s">
        <v>187</v>
      </c>
      <c r="J76" s="7" t="s">
        <v>1920</v>
      </c>
      <c r="K76" s="7" t="s">
        <v>924</v>
      </c>
      <c r="L76" s="7" t="s">
        <v>105</v>
      </c>
      <c r="M76" s="7" t="s">
        <v>1921</v>
      </c>
    </row>
    <row r="77" spans="1:13" ht="28" x14ac:dyDescent="0.2">
      <c r="A77" s="7" t="s">
        <v>303</v>
      </c>
      <c r="B77" s="7" t="s">
        <v>1049</v>
      </c>
      <c r="C77" s="7" t="s">
        <v>99</v>
      </c>
      <c r="D77" s="7" t="s">
        <v>1760</v>
      </c>
      <c r="E77" s="7" t="s">
        <v>1707</v>
      </c>
      <c r="F77" s="7" t="s">
        <v>1751</v>
      </c>
      <c r="G77" s="7" t="s">
        <v>927</v>
      </c>
      <c r="H77" s="7" t="s">
        <v>1895</v>
      </c>
      <c r="I77" s="7" t="s">
        <v>187</v>
      </c>
      <c r="J77" s="7" t="s">
        <v>1922</v>
      </c>
      <c r="K77" s="7" t="s">
        <v>924</v>
      </c>
      <c r="L77" s="7" t="s">
        <v>105</v>
      </c>
      <c r="M77" s="7" t="s">
        <v>1923</v>
      </c>
    </row>
    <row r="78" spans="1:13" ht="28" x14ac:dyDescent="0.2">
      <c r="A78" s="7" t="s">
        <v>303</v>
      </c>
      <c r="B78" s="7" t="s">
        <v>1042</v>
      </c>
      <c r="C78" s="7" t="s">
        <v>99</v>
      </c>
      <c r="D78" s="7" t="s">
        <v>1924</v>
      </c>
      <c r="E78" s="7" t="s">
        <v>1707</v>
      </c>
      <c r="F78" s="7" t="s">
        <v>1200</v>
      </c>
      <c r="G78" s="7" t="s">
        <v>1087</v>
      </c>
      <c r="H78" s="7" t="s">
        <v>1925</v>
      </c>
      <c r="I78" s="7" t="s">
        <v>187</v>
      </c>
      <c r="J78" s="7" t="s">
        <v>1926</v>
      </c>
      <c r="K78" s="7" t="s">
        <v>924</v>
      </c>
      <c r="L78" s="7" t="s">
        <v>105</v>
      </c>
      <c r="M78" s="7" t="s">
        <v>1927</v>
      </c>
    </row>
    <row r="79" spans="1:13" ht="28" x14ac:dyDescent="0.2">
      <c r="A79" s="7" t="s">
        <v>303</v>
      </c>
      <c r="B79" s="7" t="s">
        <v>1049</v>
      </c>
      <c r="C79" s="7" t="s">
        <v>99</v>
      </c>
      <c r="D79" s="7" t="s">
        <v>1924</v>
      </c>
      <c r="E79" s="7" t="s">
        <v>1707</v>
      </c>
      <c r="F79" s="7" t="s">
        <v>1074</v>
      </c>
      <c r="G79" s="7" t="s">
        <v>927</v>
      </c>
      <c r="H79" s="7" t="s">
        <v>1925</v>
      </c>
      <c r="I79" s="7" t="s">
        <v>187</v>
      </c>
      <c r="J79" s="7" t="s">
        <v>1928</v>
      </c>
      <c r="K79" s="7" t="s">
        <v>924</v>
      </c>
      <c r="L79" s="7" t="s">
        <v>105</v>
      </c>
      <c r="M79" s="7" t="s">
        <v>1929</v>
      </c>
    </row>
    <row r="80" spans="1:13" ht="56" x14ac:dyDescent="0.2">
      <c r="A80" s="7" t="s">
        <v>318</v>
      </c>
      <c r="B80" s="7" t="s">
        <v>1056</v>
      </c>
      <c r="C80" s="7" t="s">
        <v>99</v>
      </c>
      <c r="D80" s="7" t="s">
        <v>1690</v>
      </c>
      <c r="E80" s="7" t="s">
        <v>1691</v>
      </c>
      <c r="F80" s="7" t="s">
        <v>911</v>
      </c>
      <c r="G80" s="7" t="s">
        <v>329</v>
      </c>
      <c r="H80" s="7" t="s">
        <v>1930</v>
      </c>
      <c r="I80" s="7" t="s">
        <v>1931</v>
      </c>
      <c r="J80" s="7" t="s">
        <v>1932</v>
      </c>
      <c r="K80" s="7" t="s">
        <v>1933</v>
      </c>
      <c r="L80" s="7" t="s">
        <v>105</v>
      </c>
      <c r="M80" s="7" t="s">
        <v>1934</v>
      </c>
    </row>
    <row r="81" spans="1:13" ht="42" x14ac:dyDescent="0.2">
      <c r="A81" s="7" t="s">
        <v>318</v>
      </c>
      <c r="B81" s="7" t="s">
        <v>1056</v>
      </c>
      <c r="C81" s="7" t="s">
        <v>99</v>
      </c>
      <c r="D81" s="7" t="s">
        <v>1935</v>
      </c>
      <c r="E81" s="7" t="s">
        <v>1789</v>
      </c>
      <c r="F81" s="7" t="s">
        <v>1883</v>
      </c>
      <c r="G81" s="7" t="s">
        <v>329</v>
      </c>
      <c r="H81" s="7" t="s">
        <v>187</v>
      </c>
      <c r="I81" s="7" t="s">
        <v>187</v>
      </c>
      <c r="J81" s="7" t="s">
        <v>1936</v>
      </c>
      <c r="K81" s="7" t="s">
        <v>1933</v>
      </c>
      <c r="L81" s="7" t="s">
        <v>105</v>
      </c>
      <c r="M81" s="7" t="s">
        <v>1937</v>
      </c>
    </row>
    <row r="82" spans="1:13" ht="42" x14ac:dyDescent="0.2">
      <c r="A82" s="7" t="s">
        <v>318</v>
      </c>
      <c r="B82" s="7" t="s">
        <v>1056</v>
      </c>
      <c r="C82" s="7" t="s">
        <v>99</v>
      </c>
      <c r="D82" s="7" t="s">
        <v>1938</v>
      </c>
      <c r="E82" s="7" t="s">
        <v>1939</v>
      </c>
      <c r="F82" s="7" t="s">
        <v>774</v>
      </c>
      <c r="G82" s="7" t="s">
        <v>329</v>
      </c>
      <c r="H82" s="7" t="s">
        <v>1940</v>
      </c>
      <c r="I82" s="7" t="s">
        <v>1941</v>
      </c>
      <c r="J82" s="7" t="s">
        <v>1942</v>
      </c>
      <c r="K82" s="7" t="s">
        <v>1700</v>
      </c>
      <c r="L82" s="7" t="s">
        <v>105</v>
      </c>
      <c r="M82" s="7" t="s">
        <v>1943</v>
      </c>
    </row>
    <row r="83" spans="1:13" ht="42" x14ac:dyDescent="0.2">
      <c r="A83" s="7" t="s">
        <v>318</v>
      </c>
      <c r="B83" s="7" t="s">
        <v>1056</v>
      </c>
      <c r="C83" s="7" t="s">
        <v>99</v>
      </c>
      <c r="D83" s="7" t="s">
        <v>1706</v>
      </c>
      <c r="E83" s="7" t="s">
        <v>1944</v>
      </c>
      <c r="F83" s="7" t="s">
        <v>203</v>
      </c>
      <c r="G83" s="7" t="s">
        <v>1085</v>
      </c>
      <c r="H83" s="7" t="s">
        <v>187</v>
      </c>
      <c r="I83" s="7" t="s">
        <v>187</v>
      </c>
      <c r="J83" s="7" t="s">
        <v>1945</v>
      </c>
      <c r="K83" s="7" t="s">
        <v>1234</v>
      </c>
      <c r="L83" s="7" t="s">
        <v>105</v>
      </c>
      <c r="M83" s="7" t="s">
        <v>1946</v>
      </c>
    </row>
    <row r="84" spans="1:13" ht="42" x14ac:dyDescent="0.2">
      <c r="A84" s="7" t="s">
        <v>318</v>
      </c>
      <c r="B84" s="7" t="s">
        <v>1056</v>
      </c>
      <c r="C84" s="7" t="s">
        <v>99</v>
      </c>
      <c r="D84" s="7" t="s">
        <v>1814</v>
      </c>
      <c r="E84" s="7" t="s">
        <v>1947</v>
      </c>
      <c r="F84" s="7" t="s">
        <v>1232</v>
      </c>
      <c r="G84" s="7" t="s">
        <v>329</v>
      </c>
      <c r="H84" s="7" t="s">
        <v>1948</v>
      </c>
      <c r="I84" s="7" t="s">
        <v>1232</v>
      </c>
      <c r="J84" s="7" t="s">
        <v>1949</v>
      </c>
      <c r="K84" s="7" t="s">
        <v>1234</v>
      </c>
      <c r="L84" s="7" t="s">
        <v>105</v>
      </c>
      <c r="M84" s="7"/>
    </row>
    <row r="85" spans="1:13" ht="42" x14ac:dyDescent="0.2">
      <c r="A85" s="7" t="s">
        <v>335</v>
      </c>
      <c r="B85" s="7" t="s">
        <v>1070</v>
      </c>
      <c r="C85" s="7" t="s">
        <v>348</v>
      </c>
      <c r="D85" s="7" t="s">
        <v>1714</v>
      </c>
      <c r="E85" s="7" t="s">
        <v>1950</v>
      </c>
      <c r="F85" s="7" t="s">
        <v>1770</v>
      </c>
      <c r="G85" s="7" t="s">
        <v>346</v>
      </c>
      <c r="H85" s="7" t="s">
        <v>1951</v>
      </c>
      <c r="I85" s="7" t="s">
        <v>1232</v>
      </c>
      <c r="J85" s="7" t="s">
        <v>1952</v>
      </c>
      <c r="K85" s="7" t="s">
        <v>1953</v>
      </c>
      <c r="L85" s="7" t="s">
        <v>105</v>
      </c>
      <c r="M85" s="7" t="s">
        <v>1954</v>
      </c>
    </row>
    <row r="86" spans="1:13" ht="42" x14ac:dyDescent="0.2">
      <c r="A86" s="7" t="s">
        <v>335</v>
      </c>
      <c r="B86" s="7" t="s">
        <v>1070</v>
      </c>
      <c r="C86" s="7" t="s">
        <v>348</v>
      </c>
      <c r="D86" s="7" t="s">
        <v>1711</v>
      </c>
      <c r="E86" s="7" t="s">
        <v>1955</v>
      </c>
      <c r="F86" s="7" t="s">
        <v>542</v>
      </c>
      <c r="G86" s="7" t="s">
        <v>346</v>
      </c>
      <c r="H86" s="7" t="s">
        <v>1232</v>
      </c>
      <c r="I86" s="7" t="s">
        <v>1232</v>
      </c>
      <c r="J86" s="7" t="s">
        <v>1956</v>
      </c>
      <c r="K86" s="7" t="s">
        <v>1234</v>
      </c>
      <c r="L86" s="7" t="s">
        <v>105</v>
      </c>
      <c r="M86" s="7" t="s">
        <v>1957</v>
      </c>
    </row>
    <row r="87" spans="1:13" ht="42" x14ac:dyDescent="0.2">
      <c r="A87" s="7" t="s">
        <v>335</v>
      </c>
      <c r="B87" s="7" t="s">
        <v>1070</v>
      </c>
      <c r="C87" s="7" t="s">
        <v>348</v>
      </c>
      <c r="D87" s="7" t="s">
        <v>1760</v>
      </c>
      <c r="E87" s="7" t="s">
        <v>1955</v>
      </c>
      <c r="F87" s="7" t="s">
        <v>844</v>
      </c>
      <c r="G87" s="7" t="s">
        <v>346</v>
      </c>
      <c r="H87" s="7" t="s">
        <v>1232</v>
      </c>
      <c r="I87" s="7" t="s">
        <v>1232</v>
      </c>
      <c r="J87" s="7" t="s">
        <v>1958</v>
      </c>
      <c r="K87" s="7" t="s">
        <v>1234</v>
      </c>
      <c r="L87" s="7" t="s">
        <v>105</v>
      </c>
      <c r="M87" s="7" t="s">
        <v>1959</v>
      </c>
    </row>
    <row r="88" spans="1:13" ht="56" x14ac:dyDescent="0.2">
      <c r="A88" s="7" t="s">
        <v>353</v>
      </c>
      <c r="B88" s="7" t="s">
        <v>1078</v>
      </c>
      <c r="C88" s="7" t="s">
        <v>1960</v>
      </c>
      <c r="D88" s="7" t="s">
        <v>1660</v>
      </c>
      <c r="E88" s="7" t="s">
        <v>1961</v>
      </c>
      <c r="F88" s="7" t="s">
        <v>1962</v>
      </c>
      <c r="G88" s="7" t="s">
        <v>1081</v>
      </c>
      <c r="H88" s="7" t="s">
        <v>1963</v>
      </c>
      <c r="I88" s="7" t="s">
        <v>1964</v>
      </c>
      <c r="J88" s="7" t="s">
        <v>1965</v>
      </c>
      <c r="K88" s="7" t="s">
        <v>1966</v>
      </c>
      <c r="L88" s="7" t="s">
        <v>105</v>
      </c>
      <c r="M88" s="7"/>
    </row>
    <row r="89" spans="1:13" ht="42" x14ac:dyDescent="0.2">
      <c r="A89" s="7" t="s">
        <v>353</v>
      </c>
      <c r="B89" s="7" t="s">
        <v>1090</v>
      </c>
      <c r="C89" s="7" t="s">
        <v>1967</v>
      </c>
      <c r="D89" s="7" t="s">
        <v>1660</v>
      </c>
      <c r="E89" s="7" t="s">
        <v>1961</v>
      </c>
      <c r="F89" s="7" t="s">
        <v>911</v>
      </c>
      <c r="G89" s="7" t="s">
        <v>1093</v>
      </c>
      <c r="H89" s="7" t="s">
        <v>1968</v>
      </c>
      <c r="I89" s="7" t="s">
        <v>187</v>
      </c>
      <c r="J89" s="7" t="s">
        <v>1969</v>
      </c>
      <c r="K89" s="7" t="s">
        <v>1966</v>
      </c>
      <c r="L89" s="7" t="s">
        <v>105</v>
      </c>
      <c r="M89" s="7"/>
    </row>
    <row r="90" spans="1:13" ht="28" x14ac:dyDescent="0.2">
      <c r="A90" s="7" t="s">
        <v>353</v>
      </c>
      <c r="B90" s="7" t="s">
        <v>1078</v>
      </c>
      <c r="C90" s="7" t="s">
        <v>1960</v>
      </c>
      <c r="D90" s="7" t="s">
        <v>1727</v>
      </c>
      <c r="E90" s="7" t="s">
        <v>1970</v>
      </c>
      <c r="F90" s="7" t="s">
        <v>991</v>
      </c>
      <c r="G90" s="7" t="s">
        <v>1081</v>
      </c>
      <c r="H90" s="7" t="s">
        <v>1971</v>
      </c>
      <c r="I90" s="7" t="s">
        <v>187</v>
      </c>
      <c r="J90" s="7" t="s">
        <v>1972</v>
      </c>
      <c r="K90" s="7" t="s">
        <v>1966</v>
      </c>
      <c r="L90" s="7" t="s">
        <v>105</v>
      </c>
      <c r="M90" s="7"/>
    </row>
    <row r="91" spans="1:13" ht="42" x14ac:dyDescent="0.2">
      <c r="A91" s="7" t="s">
        <v>353</v>
      </c>
      <c r="B91" s="7" t="s">
        <v>1090</v>
      </c>
      <c r="C91" s="7" t="s">
        <v>1967</v>
      </c>
      <c r="D91" s="7" t="s">
        <v>1727</v>
      </c>
      <c r="E91" s="7" t="s">
        <v>1970</v>
      </c>
      <c r="F91" s="7" t="s">
        <v>1686</v>
      </c>
      <c r="G91" s="7" t="s">
        <v>1093</v>
      </c>
      <c r="H91" s="7" t="s">
        <v>1973</v>
      </c>
      <c r="I91" s="7" t="s">
        <v>187</v>
      </c>
      <c r="J91" s="7" t="s">
        <v>1974</v>
      </c>
      <c r="K91" s="7" t="s">
        <v>1966</v>
      </c>
      <c r="L91" s="7" t="s">
        <v>105</v>
      </c>
      <c r="M91" s="7"/>
    </row>
    <row r="92" spans="1:13" ht="42" x14ac:dyDescent="0.2">
      <c r="A92" s="7" t="s">
        <v>353</v>
      </c>
      <c r="B92" s="7" t="s">
        <v>1078</v>
      </c>
      <c r="C92" s="7" t="s">
        <v>1960</v>
      </c>
      <c r="D92" s="7" t="s">
        <v>1690</v>
      </c>
      <c r="E92" s="7" t="s">
        <v>1975</v>
      </c>
      <c r="F92" s="7" t="s">
        <v>1331</v>
      </c>
      <c r="G92" s="7" t="s">
        <v>1081</v>
      </c>
      <c r="H92" s="7" t="s">
        <v>1976</v>
      </c>
      <c r="I92" s="7" t="s">
        <v>187</v>
      </c>
      <c r="J92" s="7" t="s">
        <v>1977</v>
      </c>
      <c r="K92" s="7" t="s">
        <v>1966</v>
      </c>
      <c r="L92" s="7" t="s">
        <v>105</v>
      </c>
      <c r="M92" s="7" t="s">
        <v>1978</v>
      </c>
    </row>
    <row r="93" spans="1:13" ht="28" x14ac:dyDescent="0.2">
      <c r="A93" s="7" t="s">
        <v>353</v>
      </c>
      <c r="B93" s="7" t="s">
        <v>1090</v>
      </c>
      <c r="C93" s="7" t="s">
        <v>1967</v>
      </c>
      <c r="D93" s="7" t="s">
        <v>1690</v>
      </c>
      <c r="E93" s="7" t="s">
        <v>1975</v>
      </c>
      <c r="F93" s="7" t="s">
        <v>1751</v>
      </c>
      <c r="G93" s="7" t="s">
        <v>1093</v>
      </c>
      <c r="H93" s="7" t="s">
        <v>1979</v>
      </c>
      <c r="I93" s="7" t="s">
        <v>187</v>
      </c>
      <c r="J93" s="7" t="s">
        <v>1980</v>
      </c>
      <c r="K93" s="7" t="s">
        <v>1966</v>
      </c>
      <c r="L93" s="7" t="s">
        <v>105</v>
      </c>
      <c r="M93" s="7" t="s">
        <v>1981</v>
      </c>
    </row>
    <row r="94" spans="1:13" ht="42" x14ac:dyDescent="0.2">
      <c r="A94" s="7" t="s">
        <v>353</v>
      </c>
      <c r="B94" s="7" t="s">
        <v>1078</v>
      </c>
      <c r="C94" s="7" t="s">
        <v>1960</v>
      </c>
      <c r="D94" s="7" t="s">
        <v>1735</v>
      </c>
      <c r="E94" s="7" t="s">
        <v>1982</v>
      </c>
      <c r="F94" s="7" t="s">
        <v>346</v>
      </c>
      <c r="G94" s="7" t="s">
        <v>1575</v>
      </c>
      <c r="H94" s="7" t="s">
        <v>1983</v>
      </c>
      <c r="I94" s="7" t="s">
        <v>187</v>
      </c>
      <c r="J94" s="7" t="s">
        <v>1984</v>
      </c>
      <c r="K94" s="7" t="s">
        <v>1985</v>
      </c>
      <c r="L94" s="7" t="s">
        <v>105</v>
      </c>
      <c r="M94" s="7"/>
    </row>
    <row r="95" spans="1:13" ht="28" x14ac:dyDescent="0.2">
      <c r="A95" s="7" t="s">
        <v>353</v>
      </c>
      <c r="B95" s="7" t="s">
        <v>1090</v>
      </c>
      <c r="C95" s="7" t="s">
        <v>1967</v>
      </c>
      <c r="D95" s="7" t="s">
        <v>1735</v>
      </c>
      <c r="E95" s="7" t="s">
        <v>1982</v>
      </c>
      <c r="F95" s="7" t="s">
        <v>1200</v>
      </c>
      <c r="G95" s="7" t="s">
        <v>894</v>
      </c>
      <c r="H95" s="7" t="s">
        <v>1986</v>
      </c>
      <c r="I95" s="7" t="s">
        <v>187</v>
      </c>
      <c r="J95" s="7" t="s">
        <v>1987</v>
      </c>
      <c r="K95" s="7" t="s">
        <v>1985</v>
      </c>
      <c r="L95" s="7" t="s">
        <v>105</v>
      </c>
      <c r="M95" s="7"/>
    </row>
    <row r="96" spans="1:13" ht="42" x14ac:dyDescent="0.2">
      <c r="A96" s="7" t="s">
        <v>353</v>
      </c>
      <c r="B96" s="7" t="s">
        <v>1078</v>
      </c>
      <c r="C96" s="7" t="s">
        <v>1960</v>
      </c>
      <c r="D96" s="7" t="s">
        <v>1711</v>
      </c>
      <c r="E96" s="7" t="s">
        <v>1988</v>
      </c>
      <c r="F96" s="7" t="s">
        <v>380</v>
      </c>
      <c r="G96" s="7" t="s">
        <v>1081</v>
      </c>
      <c r="H96" s="7" t="s">
        <v>1989</v>
      </c>
      <c r="I96" s="7" t="s">
        <v>187</v>
      </c>
      <c r="J96" s="7" t="s">
        <v>1990</v>
      </c>
      <c r="K96" s="7" t="s">
        <v>1991</v>
      </c>
      <c r="L96" s="7" t="s">
        <v>105</v>
      </c>
      <c r="M96" s="7" t="s">
        <v>1992</v>
      </c>
    </row>
    <row r="97" spans="1:13" ht="28" x14ac:dyDescent="0.2">
      <c r="A97" s="7" t="s">
        <v>353</v>
      </c>
      <c r="B97" s="7" t="s">
        <v>1090</v>
      </c>
      <c r="C97" s="7" t="s">
        <v>1967</v>
      </c>
      <c r="D97" s="7" t="s">
        <v>1711</v>
      </c>
      <c r="E97" s="7" t="s">
        <v>1988</v>
      </c>
      <c r="F97" s="7" t="s">
        <v>1138</v>
      </c>
      <c r="G97" s="7" t="s">
        <v>1093</v>
      </c>
      <c r="H97" s="7" t="s">
        <v>1993</v>
      </c>
      <c r="I97" s="7" t="s">
        <v>187</v>
      </c>
      <c r="J97" s="7" t="s">
        <v>1994</v>
      </c>
      <c r="K97" s="7" t="s">
        <v>1991</v>
      </c>
      <c r="L97" s="7" t="s">
        <v>105</v>
      </c>
      <c r="M97" s="7"/>
    </row>
    <row r="98" spans="1:13" ht="56" x14ac:dyDescent="0.2">
      <c r="A98" s="7" t="s">
        <v>372</v>
      </c>
      <c r="B98" s="7" t="s">
        <v>1100</v>
      </c>
      <c r="C98" s="7" t="s">
        <v>253</v>
      </c>
      <c r="D98" s="7" t="s">
        <v>1714</v>
      </c>
      <c r="E98" s="7" t="s">
        <v>1995</v>
      </c>
      <c r="F98" s="7" t="s">
        <v>203</v>
      </c>
      <c r="G98" s="7" t="s">
        <v>203</v>
      </c>
      <c r="H98" s="7" t="s">
        <v>1996</v>
      </c>
      <c r="I98" s="7" t="s">
        <v>187</v>
      </c>
      <c r="J98" s="7" t="s">
        <v>1997</v>
      </c>
      <c r="K98" s="7" t="s">
        <v>1998</v>
      </c>
      <c r="L98" s="7" t="s">
        <v>105</v>
      </c>
      <c r="M98" s="7"/>
    </row>
    <row r="99" spans="1:13" ht="28" x14ac:dyDescent="0.2">
      <c r="A99" s="7" t="s">
        <v>372</v>
      </c>
      <c r="B99" s="7" t="s">
        <v>1110</v>
      </c>
      <c r="C99" s="7" t="s">
        <v>99</v>
      </c>
      <c r="D99" s="7" t="s">
        <v>1714</v>
      </c>
      <c r="E99" s="7" t="s">
        <v>1995</v>
      </c>
      <c r="F99" s="7" t="s">
        <v>1832</v>
      </c>
      <c r="G99" s="7" t="s">
        <v>346</v>
      </c>
      <c r="H99" s="7" t="s">
        <v>1999</v>
      </c>
      <c r="I99" s="7" t="s">
        <v>187</v>
      </c>
      <c r="J99" s="7" t="s">
        <v>2000</v>
      </c>
      <c r="K99" s="7" t="s">
        <v>981</v>
      </c>
      <c r="L99" s="7" t="s">
        <v>105</v>
      </c>
      <c r="M99" s="7"/>
    </row>
    <row r="100" spans="1:13" ht="28" x14ac:dyDescent="0.2">
      <c r="A100" s="7" t="s">
        <v>372</v>
      </c>
      <c r="B100" s="7" t="s">
        <v>1100</v>
      </c>
      <c r="C100" s="7" t="s">
        <v>253</v>
      </c>
      <c r="D100" s="7" t="s">
        <v>1938</v>
      </c>
      <c r="E100" s="7" t="s">
        <v>2001</v>
      </c>
      <c r="F100" s="7" t="s">
        <v>850</v>
      </c>
      <c r="G100" s="7" t="s">
        <v>203</v>
      </c>
      <c r="H100" s="7" t="s">
        <v>2002</v>
      </c>
      <c r="I100" s="7" t="s">
        <v>187</v>
      </c>
      <c r="J100" s="7" t="s">
        <v>2003</v>
      </c>
      <c r="K100" s="7" t="s">
        <v>1234</v>
      </c>
      <c r="L100" s="7" t="s">
        <v>105</v>
      </c>
      <c r="M100" s="7" t="s">
        <v>2004</v>
      </c>
    </row>
    <row r="101" spans="1:13" ht="42" x14ac:dyDescent="0.2">
      <c r="A101" s="7" t="s">
        <v>372</v>
      </c>
      <c r="B101" s="7" t="s">
        <v>1110</v>
      </c>
      <c r="C101" s="7" t="s">
        <v>99</v>
      </c>
      <c r="D101" s="7" t="s">
        <v>1938</v>
      </c>
      <c r="E101" s="7" t="s">
        <v>2001</v>
      </c>
      <c r="F101" s="7" t="s">
        <v>1200</v>
      </c>
      <c r="G101" s="7" t="s">
        <v>346</v>
      </c>
      <c r="H101" s="7" t="s">
        <v>2005</v>
      </c>
      <c r="I101" s="7" t="s">
        <v>187</v>
      </c>
      <c r="J101" s="7" t="s">
        <v>2006</v>
      </c>
      <c r="K101" s="7" t="s">
        <v>1234</v>
      </c>
      <c r="L101" s="7" t="s">
        <v>105</v>
      </c>
      <c r="M101" s="7"/>
    </row>
    <row r="102" spans="1:13" ht="28" x14ac:dyDescent="0.2">
      <c r="A102" s="7" t="s">
        <v>372</v>
      </c>
      <c r="B102" s="7" t="s">
        <v>1100</v>
      </c>
      <c r="C102" s="7" t="s">
        <v>253</v>
      </c>
      <c r="D102" s="7" t="s">
        <v>2007</v>
      </c>
      <c r="E102" s="7" t="s">
        <v>2008</v>
      </c>
      <c r="F102" s="7" t="s">
        <v>542</v>
      </c>
      <c r="G102" s="7" t="s">
        <v>203</v>
      </c>
      <c r="H102" s="7" t="s">
        <v>2009</v>
      </c>
      <c r="I102" s="7" t="s">
        <v>187</v>
      </c>
      <c r="J102" s="7" t="s">
        <v>2010</v>
      </c>
      <c r="K102" s="7" t="s">
        <v>981</v>
      </c>
      <c r="L102" s="7" t="s">
        <v>105</v>
      </c>
      <c r="M102" s="7" t="s">
        <v>2011</v>
      </c>
    </row>
    <row r="103" spans="1:13" ht="28" x14ac:dyDescent="0.2">
      <c r="A103" s="7" t="s">
        <v>372</v>
      </c>
      <c r="B103" s="7" t="s">
        <v>1110</v>
      </c>
      <c r="C103" s="7" t="s">
        <v>99</v>
      </c>
      <c r="D103" s="7" t="s">
        <v>2007</v>
      </c>
      <c r="E103" s="7" t="s">
        <v>2008</v>
      </c>
      <c r="F103" s="7" t="s">
        <v>1805</v>
      </c>
      <c r="G103" s="7" t="s">
        <v>346</v>
      </c>
      <c r="H103" s="7" t="s">
        <v>2012</v>
      </c>
      <c r="I103" s="7" t="s">
        <v>187</v>
      </c>
      <c r="J103" s="7" t="s">
        <v>2013</v>
      </c>
      <c r="K103" s="7" t="s">
        <v>981</v>
      </c>
      <c r="L103" s="7" t="s">
        <v>105</v>
      </c>
      <c r="M103" s="7"/>
    </row>
    <row r="104" spans="1:13" ht="42" x14ac:dyDescent="0.2">
      <c r="A104" s="7" t="s">
        <v>372</v>
      </c>
      <c r="B104" s="7" t="s">
        <v>1100</v>
      </c>
      <c r="C104" s="7" t="s">
        <v>253</v>
      </c>
      <c r="D104" s="7" t="s">
        <v>1711</v>
      </c>
      <c r="E104" s="7" t="s">
        <v>1707</v>
      </c>
      <c r="F104" s="7" t="s">
        <v>1805</v>
      </c>
      <c r="G104" s="7" t="s">
        <v>203</v>
      </c>
      <c r="H104" s="7" t="s">
        <v>2014</v>
      </c>
      <c r="I104" s="7" t="s">
        <v>187</v>
      </c>
      <c r="J104" s="7" t="s">
        <v>2015</v>
      </c>
      <c r="K104" s="7" t="s">
        <v>1998</v>
      </c>
      <c r="L104" s="7" t="s">
        <v>105</v>
      </c>
      <c r="M104" s="7"/>
    </row>
    <row r="105" spans="1:13" ht="28" x14ac:dyDescent="0.2">
      <c r="A105" s="7" t="s">
        <v>372</v>
      </c>
      <c r="B105" s="7" t="s">
        <v>1110</v>
      </c>
      <c r="C105" s="7" t="s">
        <v>99</v>
      </c>
      <c r="D105" s="7" t="s">
        <v>1711</v>
      </c>
      <c r="E105" s="7" t="s">
        <v>1707</v>
      </c>
      <c r="F105" s="7" t="s">
        <v>1008</v>
      </c>
      <c r="G105" s="7" t="s">
        <v>346</v>
      </c>
      <c r="H105" s="7" t="s">
        <v>2016</v>
      </c>
      <c r="I105" s="7" t="s">
        <v>187</v>
      </c>
      <c r="J105" s="7" t="s">
        <v>2017</v>
      </c>
      <c r="K105" s="7" t="s">
        <v>981</v>
      </c>
      <c r="L105" s="7" t="s">
        <v>105</v>
      </c>
      <c r="M105" s="7"/>
    </row>
    <row r="106" spans="1:13" ht="28" x14ac:dyDescent="0.2">
      <c r="A106" s="7" t="s">
        <v>372</v>
      </c>
      <c r="B106" s="7" t="s">
        <v>1100</v>
      </c>
      <c r="C106" s="7" t="s">
        <v>253</v>
      </c>
      <c r="D106" s="7" t="s">
        <v>2018</v>
      </c>
      <c r="E106" s="7" t="s">
        <v>1707</v>
      </c>
      <c r="F106" s="7" t="s">
        <v>251</v>
      </c>
      <c r="G106" s="7" t="s">
        <v>203</v>
      </c>
      <c r="H106" s="7" t="s">
        <v>2019</v>
      </c>
      <c r="I106" s="7" t="s">
        <v>187</v>
      </c>
      <c r="J106" s="7" t="s">
        <v>2020</v>
      </c>
      <c r="K106" s="7" t="s">
        <v>981</v>
      </c>
      <c r="L106" s="7" t="s">
        <v>105</v>
      </c>
      <c r="M106" s="7"/>
    </row>
    <row r="107" spans="1:13" ht="28" x14ac:dyDescent="0.2">
      <c r="A107" s="7" t="s">
        <v>372</v>
      </c>
      <c r="B107" s="7" t="s">
        <v>1110</v>
      </c>
      <c r="C107" s="7" t="s">
        <v>99</v>
      </c>
      <c r="D107" s="7" t="s">
        <v>2018</v>
      </c>
      <c r="E107" s="7" t="s">
        <v>1707</v>
      </c>
      <c r="F107" s="7" t="s">
        <v>844</v>
      </c>
      <c r="G107" s="7" t="s">
        <v>346</v>
      </c>
      <c r="H107" s="7" t="s">
        <v>2021</v>
      </c>
      <c r="I107" s="7" t="s">
        <v>187</v>
      </c>
      <c r="J107" s="7" t="s">
        <v>2022</v>
      </c>
      <c r="K107" s="7" t="s">
        <v>981</v>
      </c>
      <c r="L107" s="7" t="s">
        <v>105</v>
      </c>
      <c r="M107" s="7"/>
    </row>
    <row r="108" spans="1:13" ht="28" x14ac:dyDescent="0.2">
      <c r="A108" s="7" t="s">
        <v>386</v>
      </c>
      <c r="B108" s="7" t="s">
        <v>1119</v>
      </c>
      <c r="C108" s="7" t="s">
        <v>1121</v>
      </c>
      <c r="D108" s="7" t="s">
        <v>1690</v>
      </c>
      <c r="E108" s="7" t="s">
        <v>1691</v>
      </c>
      <c r="F108" s="7" t="s">
        <v>853</v>
      </c>
      <c r="G108" s="7" t="s">
        <v>393</v>
      </c>
      <c r="H108" s="7" t="s">
        <v>2023</v>
      </c>
      <c r="I108" s="7" t="s">
        <v>187</v>
      </c>
      <c r="J108" s="7" t="s">
        <v>2024</v>
      </c>
      <c r="K108" s="7" t="s">
        <v>1234</v>
      </c>
      <c r="L108" s="7" t="s">
        <v>105</v>
      </c>
      <c r="M108" s="7"/>
    </row>
    <row r="109" spans="1:13" ht="28" x14ac:dyDescent="0.2">
      <c r="A109" s="7" t="s">
        <v>386</v>
      </c>
      <c r="B109" s="7" t="s">
        <v>1119</v>
      </c>
      <c r="C109" s="7" t="s">
        <v>1121</v>
      </c>
      <c r="D109" s="7" t="s">
        <v>1690</v>
      </c>
      <c r="E109" s="7" t="s">
        <v>65</v>
      </c>
      <c r="F109" s="7" t="s">
        <v>851</v>
      </c>
      <c r="G109" s="7" t="s">
        <v>1036</v>
      </c>
      <c r="H109" s="7" t="s">
        <v>2025</v>
      </c>
      <c r="I109" s="7" t="s">
        <v>187</v>
      </c>
      <c r="J109" s="7" t="s">
        <v>2026</v>
      </c>
      <c r="K109" s="7" t="s">
        <v>1234</v>
      </c>
      <c r="L109" s="7" t="s">
        <v>105</v>
      </c>
      <c r="M109" s="7" t="s">
        <v>2027</v>
      </c>
    </row>
    <row r="110" spans="1:13" ht="42" x14ac:dyDescent="0.2">
      <c r="A110" s="7" t="s">
        <v>386</v>
      </c>
      <c r="B110" s="7" t="s">
        <v>1119</v>
      </c>
      <c r="C110" s="7" t="s">
        <v>1121</v>
      </c>
      <c r="D110" s="7" t="s">
        <v>1727</v>
      </c>
      <c r="E110" s="7" t="s">
        <v>1970</v>
      </c>
      <c r="F110" s="7" t="s">
        <v>858</v>
      </c>
      <c r="G110" s="7" t="s">
        <v>2028</v>
      </c>
      <c r="H110" s="7" t="s">
        <v>2029</v>
      </c>
      <c r="I110" s="7" t="s">
        <v>2030</v>
      </c>
      <c r="J110" s="7" t="s">
        <v>2031</v>
      </c>
      <c r="K110" s="7" t="s">
        <v>2032</v>
      </c>
      <c r="L110" s="7" t="s">
        <v>105</v>
      </c>
      <c r="M110" s="7"/>
    </row>
    <row r="111" spans="1:13" ht="84" x14ac:dyDescent="0.2">
      <c r="A111" s="7" t="s">
        <v>400</v>
      </c>
      <c r="B111" s="7" t="s">
        <v>1132</v>
      </c>
      <c r="C111" s="7" t="s">
        <v>2033</v>
      </c>
      <c r="D111" s="7" t="s">
        <v>1660</v>
      </c>
      <c r="E111" s="7" t="s">
        <v>1961</v>
      </c>
      <c r="F111" s="7" t="s">
        <v>2034</v>
      </c>
      <c r="G111" s="7" t="s">
        <v>991</v>
      </c>
      <c r="H111" s="7" t="s">
        <v>2035</v>
      </c>
      <c r="I111" s="7" t="s">
        <v>2036</v>
      </c>
      <c r="J111" s="7" t="s">
        <v>2037</v>
      </c>
      <c r="K111" s="7" t="s">
        <v>2038</v>
      </c>
      <c r="L111" s="7" t="s">
        <v>105</v>
      </c>
      <c r="M111" s="7" t="s">
        <v>2039</v>
      </c>
    </row>
    <row r="112" spans="1:13" ht="28" x14ac:dyDescent="0.2">
      <c r="A112" s="7" t="s">
        <v>400</v>
      </c>
      <c r="B112" s="7" t="s">
        <v>1144</v>
      </c>
      <c r="C112" s="7" t="s">
        <v>2040</v>
      </c>
      <c r="D112" s="7" t="s">
        <v>1660</v>
      </c>
      <c r="E112" s="7" t="s">
        <v>1961</v>
      </c>
      <c r="F112" s="7" t="s">
        <v>927</v>
      </c>
      <c r="G112" s="7" t="s">
        <v>853</v>
      </c>
      <c r="H112" s="7" t="s">
        <v>2041</v>
      </c>
      <c r="I112" s="7" t="s">
        <v>187</v>
      </c>
      <c r="J112" s="7" t="s">
        <v>2042</v>
      </c>
      <c r="K112" s="7" t="s">
        <v>1808</v>
      </c>
      <c r="L112" s="7" t="s">
        <v>105</v>
      </c>
      <c r="M112" s="7"/>
    </row>
    <row r="113" spans="1:13" ht="56" x14ac:dyDescent="0.2">
      <c r="A113" s="7" t="s">
        <v>400</v>
      </c>
      <c r="B113" s="7" t="s">
        <v>1132</v>
      </c>
      <c r="C113" s="7" t="s">
        <v>2033</v>
      </c>
      <c r="D113" s="7" t="s">
        <v>2007</v>
      </c>
      <c r="E113" s="7" t="s">
        <v>2043</v>
      </c>
      <c r="F113" s="7" t="s">
        <v>843</v>
      </c>
      <c r="G113" s="7" t="s">
        <v>991</v>
      </c>
      <c r="H113" s="7" t="s">
        <v>2044</v>
      </c>
      <c r="I113" s="7" t="s">
        <v>2045</v>
      </c>
      <c r="J113" s="7" t="s">
        <v>2046</v>
      </c>
      <c r="K113" s="7" t="s">
        <v>2038</v>
      </c>
      <c r="L113" s="7" t="s">
        <v>105</v>
      </c>
      <c r="M113" s="7" t="s">
        <v>2047</v>
      </c>
    </row>
    <row r="114" spans="1:13" ht="28" x14ac:dyDescent="0.2">
      <c r="A114" s="7" t="s">
        <v>400</v>
      </c>
      <c r="B114" s="7" t="s">
        <v>1144</v>
      </c>
      <c r="C114" s="7" t="s">
        <v>2040</v>
      </c>
      <c r="D114" s="7" t="s">
        <v>2007</v>
      </c>
      <c r="E114" s="7" t="s">
        <v>2043</v>
      </c>
      <c r="F114" s="7" t="s">
        <v>1962</v>
      </c>
      <c r="G114" s="7" t="s">
        <v>853</v>
      </c>
      <c r="H114" s="7" t="s">
        <v>2048</v>
      </c>
      <c r="I114" s="7" t="s">
        <v>187</v>
      </c>
      <c r="J114" s="7" t="s">
        <v>2049</v>
      </c>
      <c r="K114" s="7" t="s">
        <v>2038</v>
      </c>
      <c r="L114" s="7" t="s">
        <v>105</v>
      </c>
      <c r="M114" s="7" t="s">
        <v>2047</v>
      </c>
    </row>
    <row r="115" spans="1:13" ht="28" x14ac:dyDescent="0.2">
      <c r="A115" s="7" t="s">
        <v>400</v>
      </c>
      <c r="B115" s="7" t="s">
        <v>1132</v>
      </c>
      <c r="C115" s="7" t="s">
        <v>2033</v>
      </c>
      <c r="D115" s="7" t="s">
        <v>1690</v>
      </c>
      <c r="E115" s="7" t="s">
        <v>65</v>
      </c>
      <c r="F115" s="7" t="s">
        <v>136</v>
      </c>
      <c r="G115" s="7" t="s">
        <v>991</v>
      </c>
      <c r="H115" s="7" t="s">
        <v>2050</v>
      </c>
      <c r="I115" s="7" t="s">
        <v>187</v>
      </c>
      <c r="J115" s="7" t="s">
        <v>2051</v>
      </c>
      <c r="K115" s="7" t="s">
        <v>1808</v>
      </c>
      <c r="L115" s="7" t="s">
        <v>105</v>
      </c>
      <c r="M115" s="7" t="s">
        <v>2027</v>
      </c>
    </row>
    <row r="116" spans="1:13" ht="28" x14ac:dyDescent="0.2">
      <c r="A116" s="7" t="s">
        <v>400</v>
      </c>
      <c r="B116" s="7" t="s">
        <v>1144</v>
      </c>
      <c r="C116" s="7" t="s">
        <v>2040</v>
      </c>
      <c r="D116" s="7" t="s">
        <v>1690</v>
      </c>
      <c r="E116" s="7" t="s">
        <v>65</v>
      </c>
      <c r="F116" s="7" t="s">
        <v>1138</v>
      </c>
      <c r="G116" s="7" t="s">
        <v>853</v>
      </c>
      <c r="H116" s="7" t="s">
        <v>2052</v>
      </c>
      <c r="I116" s="7" t="s">
        <v>187</v>
      </c>
      <c r="J116" s="7" t="s">
        <v>2051</v>
      </c>
      <c r="K116" s="7" t="s">
        <v>1808</v>
      </c>
      <c r="L116" s="7" t="s">
        <v>105</v>
      </c>
      <c r="M116" s="7" t="s">
        <v>2027</v>
      </c>
    </row>
    <row r="117" spans="1:13" ht="28" x14ac:dyDescent="0.2">
      <c r="A117" s="7" t="s">
        <v>400</v>
      </c>
      <c r="B117" s="7" t="s">
        <v>1132</v>
      </c>
      <c r="C117" s="7" t="s">
        <v>2033</v>
      </c>
      <c r="D117" s="7" t="s">
        <v>1735</v>
      </c>
      <c r="E117" s="7" t="s">
        <v>1703</v>
      </c>
      <c r="F117" s="7" t="s">
        <v>1046</v>
      </c>
      <c r="G117" s="7" t="s">
        <v>991</v>
      </c>
      <c r="H117" s="7" t="s">
        <v>2053</v>
      </c>
      <c r="I117" s="7" t="s">
        <v>187</v>
      </c>
      <c r="J117" s="7" t="s">
        <v>2054</v>
      </c>
      <c r="K117" s="7" t="s">
        <v>1808</v>
      </c>
      <c r="L117" s="7" t="s">
        <v>105</v>
      </c>
      <c r="M117" s="7"/>
    </row>
    <row r="118" spans="1:13" ht="28" x14ac:dyDescent="0.2">
      <c r="A118" s="7" t="s">
        <v>400</v>
      </c>
      <c r="B118" s="7" t="s">
        <v>1144</v>
      </c>
      <c r="C118" s="7" t="s">
        <v>2040</v>
      </c>
      <c r="D118" s="7" t="s">
        <v>1735</v>
      </c>
      <c r="E118" s="7" t="s">
        <v>1703</v>
      </c>
      <c r="F118" s="7" t="s">
        <v>954</v>
      </c>
      <c r="G118" s="7" t="s">
        <v>853</v>
      </c>
      <c r="H118" s="7" t="s">
        <v>2055</v>
      </c>
      <c r="I118" s="7" t="s">
        <v>187</v>
      </c>
      <c r="J118" s="7" t="s">
        <v>2054</v>
      </c>
      <c r="K118" s="7" t="s">
        <v>1808</v>
      </c>
      <c r="L118" s="7" t="s">
        <v>105</v>
      </c>
      <c r="M118" s="7"/>
    </row>
    <row r="119" spans="1:13" ht="42" x14ac:dyDescent="0.2">
      <c r="A119" s="7" t="s">
        <v>414</v>
      </c>
      <c r="B119" s="7" t="s">
        <v>1156</v>
      </c>
      <c r="C119" s="7" t="s">
        <v>99</v>
      </c>
      <c r="D119" s="7" t="s">
        <v>2007</v>
      </c>
      <c r="E119" s="7" t="s">
        <v>2043</v>
      </c>
      <c r="F119" s="7" t="s">
        <v>852</v>
      </c>
      <c r="G119" s="7" t="s">
        <v>422</v>
      </c>
      <c r="H119" s="7" t="s">
        <v>2056</v>
      </c>
      <c r="I119" s="7" t="s">
        <v>187</v>
      </c>
      <c r="J119" s="7" t="s">
        <v>2057</v>
      </c>
      <c r="K119" s="7" t="s">
        <v>866</v>
      </c>
      <c r="L119" s="7" t="s">
        <v>105</v>
      </c>
      <c r="M119" s="7" t="s">
        <v>2058</v>
      </c>
    </row>
    <row r="120" spans="1:13" ht="28" x14ac:dyDescent="0.2">
      <c r="A120" s="7" t="s">
        <v>414</v>
      </c>
      <c r="B120" s="7" t="s">
        <v>1156</v>
      </c>
      <c r="C120" s="7" t="s">
        <v>99</v>
      </c>
      <c r="D120" s="7" t="s">
        <v>1735</v>
      </c>
      <c r="E120" s="7" t="s">
        <v>1703</v>
      </c>
      <c r="F120" s="7" t="s">
        <v>853</v>
      </c>
      <c r="G120" s="7" t="s">
        <v>422</v>
      </c>
      <c r="H120" s="7" t="s">
        <v>2059</v>
      </c>
      <c r="I120" s="7" t="s">
        <v>187</v>
      </c>
      <c r="J120" s="7" t="s">
        <v>2060</v>
      </c>
      <c r="K120" s="7" t="s">
        <v>924</v>
      </c>
      <c r="L120" s="7" t="s">
        <v>105</v>
      </c>
      <c r="M120" s="7"/>
    </row>
    <row r="121" spans="1:13" ht="42" x14ac:dyDescent="0.2">
      <c r="A121" s="7" t="s">
        <v>414</v>
      </c>
      <c r="B121" s="7" t="s">
        <v>1156</v>
      </c>
      <c r="C121" s="7" t="s">
        <v>99</v>
      </c>
      <c r="D121" s="7" t="s">
        <v>1924</v>
      </c>
      <c r="E121" s="7" t="s">
        <v>1703</v>
      </c>
      <c r="F121" s="7" t="s">
        <v>999</v>
      </c>
      <c r="G121" s="7" t="s">
        <v>422</v>
      </c>
      <c r="H121" s="7" t="s">
        <v>2061</v>
      </c>
      <c r="I121" s="7" t="s">
        <v>187</v>
      </c>
      <c r="J121" s="7" t="s">
        <v>2062</v>
      </c>
      <c r="K121" s="7" t="s">
        <v>924</v>
      </c>
      <c r="L121" s="7" t="s">
        <v>105</v>
      </c>
      <c r="M121" s="7" t="s">
        <v>2063</v>
      </c>
    </row>
    <row r="122" spans="1:13" ht="28" x14ac:dyDescent="0.2">
      <c r="A122" s="7" t="s">
        <v>429</v>
      </c>
      <c r="B122" s="7" t="s">
        <v>1166</v>
      </c>
      <c r="C122" s="7" t="s">
        <v>99</v>
      </c>
      <c r="D122" s="7" t="s">
        <v>1938</v>
      </c>
      <c r="E122" s="7" t="s">
        <v>2064</v>
      </c>
      <c r="F122" s="7" t="s">
        <v>2065</v>
      </c>
      <c r="G122" s="7" t="s">
        <v>435</v>
      </c>
      <c r="H122" s="7" t="s">
        <v>2066</v>
      </c>
      <c r="I122" s="7" t="s">
        <v>187</v>
      </c>
      <c r="J122" s="7" t="s">
        <v>2067</v>
      </c>
      <c r="K122" s="7" t="s">
        <v>1234</v>
      </c>
      <c r="L122" s="7" t="s">
        <v>105</v>
      </c>
      <c r="M122" s="7"/>
    </row>
    <row r="123" spans="1:13" ht="56" x14ac:dyDescent="0.2">
      <c r="A123" s="7" t="s">
        <v>429</v>
      </c>
      <c r="B123" s="7" t="s">
        <v>1175</v>
      </c>
      <c r="C123" s="7" t="s">
        <v>2068</v>
      </c>
      <c r="D123" s="7" t="s">
        <v>1714</v>
      </c>
      <c r="E123" s="7" t="s">
        <v>2069</v>
      </c>
      <c r="F123" s="7" t="s">
        <v>1744</v>
      </c>
      <c r="G123" s="7" t="s">
        <v>1074</v>
      </c>
      <c r="H123" s="7" t="s">
        <v>2070</v>
      </c>
      <c r="I123" s="7" t="s">
        <v>187</v>
      </c>
      <c r="J123" s="7" t="s">
        <v>2071</v>
      </c>
      <c r="K123" s="7" t="s">
        <v>1234</v>
      </c>
      <c r="L123" s="7" t="s">
        <v>105</v>
      </c>
      <c r="M123" s="7"/>
    </row>
    <row r="124" spans="1:13" ht="28" x14ac:dyDescent="0.2">
      <c r="A124" s="7" t="s">
        <v>429</v>
      </c>
      <c r="B124" s="7" t="s">
        <v>1183</v>
      </c>
      <c r="C124" s="7" t="s">
        <v>348</v>
      </c>
      <c r="D124" s="7" t="s">
        <v>1714</v>
      </c>
      <c r="E124" s="7" t="s">
        <v>2069</v>
      </c>
      <c r="F124" s="7" t="s">
        <v>1200</v>
      </c>
      <c r="G124" s="7" t="s">
        <v>1008</v>
      </c>
      <c r="H124" s="7" t="s">
        <v>2072</v>
      </c>
      <c r="I124" s="7" t="s">
        <v>187</v>
      </c>
      <c r="J124" s="7" t="s">
        <v>2073</v>
      </c>
      <c r="K124" s="7" t="s">
        <v>1234</v>
      </c>
      <c r="L124" s="7" t="s">
        <v>105</v>
      </c>
      <c r="M124" s="7"/>
    </row>
    <row r="125" spans="1:13" ht="42" x14ac:dyDescent="0.2">
      <c r="A125" s="7" t="s">
        <v>429</v>
      </c>
      <c r="B125" s="7" t="s">
        <v>1187</v>
      </c>
      <c r="C125" s="7" t="s">
        <v>1189</v>
      </c>
      <c r="D125" s="7" t="s">
        <v>1714</v>
      </c>
      <c r="E125" s="7" t="s">
        <v>2069</v>
      </c>
      <c r="F125" s="7" t="s">
        <v>1832</v>
      </c>
      <c r="G125" s="7" t="s">
        <v>346</v>
      </c>
      <c r="H125" s="7" t="s">
        <v>2072</v>
      </c>
      <c r="I125" s="7" t="s">
        <v>187</v>
      </c>
      <c r="J125" s="7" t="s">
        <v>2074</v>
      </c>
      <c r="K125" s="7" t="s">
        <v>1234</v>
      </c>
      <c r="L125" s="7" t="s">
        <v>105</v>
      </c>
      <c r="M125" s="7"/>
    </row>
    <row r="126" spans="1:13" ht="42" x14ac:dyDescent="0.2">
      <c r="A126" s="7" t="s">
        <v>429</v>
      </c>
      <c r="B126" s="7" t="s">
        <v>1193</v>
      </c>
      <c r="C126" s="7" t="s">
        <v>1195</v>
      </c>
      <c r="D126" s="7" t="s">
        <v>1714</v>
      </c>
      <c r="E126" s="7" t="s">
        <v>2069</v>
      </c>
      <c r="F126" s="7" t="s">
        <v>1805</v>
      </c>
      <c r="G126" s="7" t="s">
        <v>1008</v>
      </c>
      <c r="H126" s="7" t="s">
        <v>2005</v>
      </c>
      <c r="I126" s="7" t="s">
        <v>187</v>
      </c>
      <c r="J126" s="7" t="s">
        <v>2075</v>
      </c>
      <c r="K126" s="7" t="s">
        <v>1234</v>
      </c>
      <c r="L126" s="7" t="s">
        <v>105</v>
      </c>
      <c r="M126" s="7"/>
    </row>
    <row r="127" spans="1:13" ht="70" x14ac:dyDescent="0.2">
      <c r="A127" s="7" t="s">
        <v>429</v>
      </c>
      <c r="B127" s="7" t="s">
        <v>1175</v>
      </c>
      <c r="C127" s="7" t="s">
        <v>2068</v>
      </c>
      <c r="D127" s="7" t="s">
        <v>1690</v>
      </c>
      <c r="E127" s="7" t="s">
        <v>1691</v>
      </c>
      <c r="F127" s="7" t="s">
        <v>1200</v>
      </c>
      <c r="G127" s="7" t="s">
        <v>1074</v>
      </c>
      <c r="H127" s="7" t="s">
        <v>2076</v>
      </c>
      <c r="I127" s="7" t="s">
        <v>187</v>
      </c>
      <c r="J127" s="7" t="s">
        <v>2077</v>
      </c>
      <c r="K127" s="7" t="s">
        <v>1234</v>
      </c>
      <c r="L127" s="7" t="s">
        <v>105</v>
      </c>
      <c r="M127" s="7" t="s">
        <v>2078</v>
      </c>
    </row>
    <row r="128" spans="1:13" ht="28" x14ac:dyDescent="0.2">
      <c r="A128" s="7" t="s">
        <v>429</v>
      </c>
      <c r="B128" s="7" t="s">
        <v>1183</v>
      </c>
      <c r="C128" s="7" t="s">
        <v>348</v>
      </c>
      <c r="D128" s="7" t="s">
        <v>1690</v>
      </c>
      <c r="E128" s="7" t="s">
        <v>1691</v>
      </c>
      <c r="F128" s="7" t="s">
        <v>844</v>
      </c>
      <c r="G128" s="7" t="s">
        <v>1008</v>
      </c>
      <c r="H128" s="7" t="s">
        <v>2079</v>
      </c>
      <c r="I128" s="7" t="s">
        <v>187</v>
      </c>
      <c r="J128" s="7" t="s">
        <v>2080</v>
      </c>
      <c r="K128" s="7" t="s">
        <v>1674</v>
      </c>
      <c r="L128" s="7" t="s">
        <v>105</v>
      </c>
      <c r="M128" s="7" t="s">
        <v>2081</v>
      </c>
    </row>
    <row r="129" spans="1:13" ht="42" x14ac:dyDescent="0.2">
      <c r="A129" s="7" t="s">
        <v>429</v>
      </c>
      <c r="B129" s="7" t="s">
        <v>1187</v>
      </c>
      <c r="C129" s="7" t="s">
        <v>1189</v>
      </c>
      <c r="D129" s="7" t="s">
        <v>1690</v>
      </c>
      <c r="E129" s="7" t="s">
        <v>1691</v>
      </c>
      <c r="F129" s="7" t="s">
        <v>1832</v>
      </c>
      <c r="G129" s="7" t="s">
        <v>346</v>
      </c>
      <c r="H129" s="7" t="s">
        <v>2082</v>
      </c>
      <c r="I129" s="7" t="s">
        <v>187</v>
      </c>
      <c r="J129" s="7" t="s">
        <v>2083</v>
      </c>
      <c r="K129" s="7" t="s">
        <v>1234</v>
      </c>
      <c r="L129" s="7" t="s">
        <v>105</v>
      </c>
      <c r="M129" s="7" t="s">
        <v>2084</v>
      </c>
    </row>
    <row r="130" spans="1:13" ht="42" x14ac:dyDescent="0.2">
      <c r="A130" s="7" t="s">
        <v>429</v>
      </c>
      <c r="B130" s="7" t="s">
        <v>1193</v>
      </c>
      <c r="C130" s="7" t="s">
        <v>1195</v>
      </c>
      <c r="D130" s="7" t="s">
        <v>1690</v>
      </c>
      <c r="E130" s="7" t="s">
        <v>1691</v>
      </c>
      <c r="F130" s="7" t="s">
        <v>1200</v>
      </c>
      <c r="G130" s="7" t="s">
        <v>1008</v>
      </c>
      <c r="H130" s="7" t="s">
        <v>2082</v>
      </c>
      <c r="I130" s="7" t="s">
        <v>187</v>
      </c>
      <c r="J130" s="7" t="s">
        <v>2085</v>
      </c>
      <c r="K130" s="7" t="s">
        <v>1234</v>
      </c>
      <c r="L130" s="7" t="s">
        <v>105</v>
      </c>
      <c r="M130" s="7" t="s">
        <v>2086</v>
      </c>
    </row>
    <row r="131" spans="1:13" ht="42" x14ac:dyDescent="0.2">
      <c r="A131" s="7" t="s">
        <v>429</v>
      </c>
      <c r="B131" s="7" t="s">
        <v>1183</v>
      </c>
      <c r="C131" s="7" t="s">
        <v>348</v>
      </c>
      <c r="D131" s="7" t="s">
        <v>1727</v>
      </c>
      <c r="E131" s="7" t="s">
        <v>2087</v>
      </c>
      <c r="F131" s="7" t="s">
        <v>465</v>
      </c>
      <c r="G131" s="7" t="s">
        <v>346</v>
      </c>
      <c r="H131" s="7" t="s">
        <v>2088</v>
      </c>
      <c r="I131" s="7" t="s">
        <v>2089</v>
      </c>
      <c r="J131" s="7" t="s">
        <v>2090</v>
      </c>
      <c r="K131" s="7" t="s">
        <v>2091</v>
      </c>
      <c r="L131" s="7" t="s">
        <v>105</v>
      </c>
      <c r="M131" s="7" t="s">
        <v>2092</v>
      </c>
    </row>
    <row r="132" spans="1:13" ht="56" x14ac:dyDescent="0.2">
      <c r="A132" s="7" t="s">
        <v>442</v>
      </c>
      <c r="B132" s="7" t="s">
        <v>1198</v>
      </c>
      <c r="C132" s="7" t="s">
        <v>99</v>
      </c>
      <c r="D132" s="7" t="s">
        <v>2007</v>
      </c>
      <c r="E132" s="7" t="s">
        <v>2093</v>
      </c>
      <c r="F132" s="7" t="s">
        <v>844</v>
      </c>
      <c r="G132" s="7" t="s">
        <v>1200</v>
      </c>
      <c r="H132" s="7" t="s">
        <v>2005</v>
      </c>
      <c r="I132" s="7" t="s">
        <v>187</v>
      </c>
      <c r="J132" s="7" t="s">
        <v>2094</v>
      </c>
      <c r="K132" s="7" t="s">
        <v>1234</v>
      </c>
      <c r="L132" s="7" t="s">
        <v>105</v>
      </c>
      <c r="M132" s="7" t="s">
        <v>2095</v>
      </c>
    </row>
    <row r="133" spans="1:13" ht="28" x14ac:dyDescent="0.2">
      <c r="A133" s="7" t="s">
        <v>442</v>
      </c>
      <c r="B133" s="7" t="s">
        <v>1207</v>
      </c>
      <c r="C133" s="7" t="s">
        <v>1209</v>
      </c>
      <c r="D133" s="7" t="s">
        <v>2007</v>
      </c>
      <c r="E133" s="7" t="s">
        <v>2093</v>
      </c>
      <c r="F133" s="7" t="s">
        <v>251</v>
      </c>
      <c r="G133" s="7" t="s">
        <v>542</v>
      </c>
      <c r="H133" s="7" t="s">
        <v>1761</v>
      </c>
      <c r="I133" s="7" t="s">
        <v>187</v>
      </c>
      <c r="J133" s="7" t="s">
        <v>2096</v>
      </c>
      <c r="K133" s="7" t="s">
        <v>1234</v>
      </c>
      <c r="L133" s="7" t="s">
        <v>105</v>
      </c>
      <c r="M133" s="7" t="s">
        <v>2097</v>
      </c>
    </row>
    <row r="134" spans="1:13" ht="56" x14ac:dyDescent="0.2">
      <c r="A134" s="7" t="s">
        <v>456</v>
      </c>
      <c r="B134" s="7" t="s">
        <v>1214</v>
      </c>
      <c r="C134" s="7" t="s">
        <v>253</v>
      </c>
      <c r="D134" s="7" t="s">
        <v>2007</v>
      </c>
      <c r="E134" s="7" t="s">
        <v>2098</v>
      </c>
      <c r="F134" s="7" t="s">
        <v>251</v>
      </c>
      <c r="G134" s="7" t="s">
        <v>465</v>
      </c>
      <c r="H134" s="7" t="s">
        <v>2099</v>
      </c>
      <c r="I134" s="7" t="s">
        <v>187</v>
      </c>
      <c r="J134" s="7" t="s">
        <v>2100</v>
      </c>
      <c r="K134" s="7" t="s">
        <v>1234</v>
      </c>
      <c r="L134" s="7" t="s">
        <v>105</v>
      </c>
      <c r="M134" s="7" t="s">
        <v>2101</v>
      </c>
    </row>
    <row r="135" spans="1:13" ht="56" x14ac:dyDescent="0.2">
      <c r="A135" s="7" t="s">
        <v>456</v>
      </c>
      <c r="B135" s="7" t="s">
        <v>1214</v>
      </c>
      <c r="C135" s="7" t="s">
        <v>253</v>
      </c>
      <c r="D135" s="7" t="s">
        <v>1735</v>
      </c>
      <c r="E135" s="7" t="s">
        <v>1703</v>
      </c>
      <c r="F135" s="7" t="s">
        <v>1013</v>
      </c>
      <c r="G135" s="7" t="s">
        <v>465</v>
      </c>
      <c r="H135" s="7" t="s">
        <v>2102</v>
      </c>
      <c r="I135" s="7" t="s">
        <v>187</v>
      </c>
      <c r="J135" s="7" t="s">
        <v>2103</v>
      </c>
      <c r="K135" s="7" t="s">
        <v>1234</v>
      </c>
      <c r="L135" s="7" t="s">
        <v>105</v>
      </c>
      <c r="M135" s="7"/>
    </row>
    <row r="136" spans="1:13" ht="42" x14ac:dyDescent="0.2">
      <c r="A136" s="7" t="s">
        <v>456</v>
      </c>
      <c r="B136" s="7" t="s">
        <v>1214</v>
      </c>
      <c r="C136" s="7" t="s">
        <v>253</v>
      </c>
      <c r="D136" s="7" t="s">
        <v>1702</v>
      </c>
      <c r="E136" s="7" t="s">
        <v>1703</v>
      </c>
      <c r="F136" s="7" t="s">
        <v>999</v>
      </c>
      <c r="G136" s="7" t="s">
        <v>465</v>
      </c>
      <c r="H136" s="7" t="s">
        <v>2104</v>
      </c>
      <c r="I136" s="7" t="s">
        <v>187</v>
      </c>
      <c r="J136" s="7" t="s">
        <v>2105</v>
      </c>
      <c r="K136" s="7" t="s">
        <v>1674</v>
      </c>
      <c r="L136" s="7" t="s">
        <v>105</v>
      </c>
      <c r="M136" s="7"/>
    </row>
    <row r="137" spans="1:13" ht="70" x14ac:dyDescent="0.2">
      <c r="A137" s="7" t="s">
        <v>472</v>
      </c>
      <c r="B137" s="7" t="s">
        <v>1225</v>
      </c>
      <c r="C137" s="7" t="s">
        <v>99</v>
      </c>
      <c r="D137" s="7" t="s">
        <v>1690</v>
      </c>
      <c r="E137" s="7" t="s">
        <v>2106</v>
      </c>
      <c r="F137" s="7" t="s">
        <v>1832</v>
      </c>
      <c r="G137" s="7" t="s">
        <v>203</v>
      </c>
      <c r="H137" s="7" t="s">
        <v>2107</v>
      </c>
      <c r="I137" s="7" t="s">
        <v>2108</v>
      </c>
      <c r="J137" s="7" t="s">
        <v>2109</v>
      </c>
      <c r="K137" s="7" t="s">
        <v>2110</v>
      </c>
      <c r="L137" s="7" t="s">
        <v>105</v>
      </c>
      <c r="M137" s="7" t="s">
        <v>2111</v>
      </c>
    </row>
    <row r="138" spans="1:13" ht="42" x14ac:dyDescent="0.2">
      <c r="A138" s="7" t="s">
        <v>472</v>
      </c>
      <c r="B138" s="7" t="s">
        <v>1230</v>
      </c>
      <c r="C138" s="7" t="s">
        <v>99</v>
      </c>
      <c r="D138" s="7" t="s">
        <v>1690</v>
      </c>
      <c r="E138" s="7" t="s">
        <v>2106</v>
      </c>
      <c r="F138" s="7" t="s">
        <v>999</v>
      </c>
      <c r="G138" s="7" t="s">
        <v>999</v>
      </c>
      <c r="H138" s="7" t="s">
        <v>2112</v>
      </c>
      <c r="I138" s="7" t="s">
        <v>187</v>
      </c>
      <c r="J138" s="7" t="s">
        <v>2113</v>
      </c>
      <c r="K138" s="7" t="s">
        <v>2110</v>
      </c>
      <c r="L138" s="7" t="s">
        <v>105</v>
      </c>
      <c r="M138" s="7" t="s">
        <v>2114</v>
      </c>
    </row>
    <row r="139" spans="1:13" ht="42" x14ac:dyDescent="0.2">
      <c r="A139" s="7" t="s">
        <v>472</v>
      </c>
      <c r="B139" s="7" t="s">
        <v>1225</v>
      </c>
      <c r="C139" s="7" t="s">
        <v>99</v>
      </c>
      <c r="D139" s="7" t="s">
        <v>2115</v>
      </c>
      <c r="E139" s="7" t="s">
        <v>2116</v>
      </c>
      <c r="F139" s="7" t="s">
        <v>203</v>
      </c>
      <c r="G139" s="7" t="s">
        <v>2117</v>
      </c>
      <c r="H139" s="7" t="s">
        <v>2118</v>
      </c>
      <c r="I139" s="7" t="s">
        <v>187</v>
      </c>
      <c r="J139" s="7" t="s">
        <v>2119</v>
      </c>
      <c r="K139" s="7" t="s">
        <v>1229</v>
      </c>
      <c r="L139" s="7" t="s">
        <v>105</v>
      </c>
      <c r="M139" s="7" t="s">
        <v>2120</v>
      </c>
    </row>
    <row r="140" spans="1:13" ht="42" x14ac:dyDescent="0.2">
      <c r="A140" s="7" t="s">
        <v>486</v>
      </c>
      <c r="B140" s="7" t="s">
        <v>1235</v>
      </c>
      <c r="C140" s="7" t="s">
        <v>99</v>
      </c>
      <c r="D140" s="7" t="s">
        <v>1660</v>
      </c>
      <c r="E140" s="7" t="s">
        <v>2121</v>
      </c>
      <c r="F140" s="7" t="s">
        <v>1013</v>
      </c>
      <c r="G140" s="7" t="s">
        <v>1098</v>
      </c>
      <c r="H140" s="7" t="s">
        <v>2122</v>
      </c>
      <c r="I140" s="7" t="s">
        <v>2123</v>
      </c>
      <c r="J140" s="7" t="s">
        <v>2124</v>
      </c>
      <c r="K140" s="7" t="s">
        <v>1700</v>
      </c>
      <c r="L140" s="7" t="s">
        <v>105</v>
      </c>
      <c r="M140" s="7"/>
    </row>
    <row r="141" spans="1:13" ht="28" x14ac:dyDescent="0.2">
      <c r="A141" s="7" t="s">
        <v>486</v>
      </c>
      <c r="B141" s="7" t="s">
        <v>1244</v>
      </c>
      <c r="C141" s="7" t="s">
        <v>99</v>
      </c>
      <c r="D141" s="7" t="s">
        <v>1660</v>
      </c>
      <c r="E141" s="7" t="s">
        <v>2121</v>
      </c>
      <c r="F141" s="7" t="s">
        <v>136</v>
      </c>
      <c r="G141" s="7" t="s">
        <v>1246</v>
      </c>
      <c r="H141" s="7" t="s">
        <v>2125</v>
      </c>
      <c r="I141" s="7" t="s">
        <v>187</v>
      </c>
      <c r="J141" s="7" t="s">
        <v>2124</v>
      </c>
      <c r="K141" s="7" t="s">
        <v>1700</v>
      </c>
      <c r="L141" s="7" t="s">
        <v>105</v>
      </c>
      <c r="M141" s="7"/>
    </row>
    <row r="142" spans="1:13" ht="42" x14ac:dyDescent="0.2">
      <c r="A142" s="7" t="s">
        <v>486</v>
      </c>
      <c r="B142" s="7" t="s">
        <v>1235</v>
      </c>
      <c r="C142" s="7" t="s">
        <v>99</v>
      </c>
      <c r="D142" s="7" t="s">
        <v>2126</v>
      </c>
      <c r="E142" s="7" t="s">
        <v>2127</v>
      </c>
      <c r="F142" s="7" t="s">
        <v>465</v>
      </c>
      <c r="G142" s="7" t="s">
        <v>1098</v>
      </c>
      <c r="H142" s="7" t="s">
        <v>2128</v>
      </c>
      <c r="I142" s="7" t="s">
        <v>2129</v>
      </c>
      <c r="J142" s="7" t="s">
        <v>2130</v>
      </c>
      <c r="K142" s="7" t="s">
        <v>1700</v>
      </c>
      <c r="L142" s="7" t="s">
        <v>105</v>
      </c>
      <c r="M142" s="7"/>
    </row>
    <row r="143" spans="1:13" ht="28" x14ac:dyDescent="0.2">
      <c r="A143" s="7" t="s">
        <v>486</v>
      </c>
      <c r="B143" s="7" t="s">
        <v>1244</v>
      </c>
      <c r="C143" s="7" t="s">
        <v>99</v>
      </c>
      <c r="D143" s="7" t="s">
        <v>2126</v>
      </c>
      <c r="E143" s="7" t="s">
        <v>2127</v>
      </c>
      <c r="F143" s="7" t="s">
        <v>911</v>
      </c>
      <c r="G143" s="7" t="s">
        <v>1246</v>
      </c>
      <c r="H143" s="7" t="s">
        <v>2131</v>
      </c>
      <c r="I143" s="7" t="s">
        <v>187</v>
      </c>
      <c r="J143" s="7" t="s">
        <v>2130</v>
      </c>
      <c r="K143" s="7" t="s">
        <v>1700</v>
      </c>
      <c r="L143" s="7" t="s">
        <v>105</v>
      </c>
      <c r="M143" s="7"/>
    </row>
    <row r="144" spans="1:13" ht="42" x14ac:dyDescent="0.2">
      <c r="A144" s="7" t="s">
        <v>486</v>
      </c>
      <c r="B144" s="7" t="s">
        <v>1235</v>
      </c>
      <c r="C144" s="7" t="s">
        <v>99</v>
      </c>
      <c r="D144" s="7" t="s">
        <v>1711</v>
      </c>
      <c r="E144" s="7" t="s">
        <v>2132</v>
      </c>
      <c r="F144" s="7" t="s">
        <v>1770</v>
      </c>
      <c r="G144" s="7" t="s">
        <v>1098</v>
      </c>
      <c r="H144" s="7" t="s">
        <v>2133</v>
      </c>
      <c r="I144" s="7" t="s">
        <v>2129</v>
      </c>
      <c r="J144" s="7" t="s">
        <v>2134</v>
      </c>
      <c r="K144" s="7" t="s">
        <v>1700</v>
      </c>
      <c r="L144" s="7" t="s">
        <v>105</v>
      </c>
      <c r="M144" s="7" t="s">
        <v>2135</v>
      </c>
    </row>
    <row r="145" spans="1:13" ht="28" x14ac:dyDescent="0.2">
      <c r="A145" s="7" t="s">
        <v>486</v>
      </c>
      <c r="B145" s="7" t="s">
        <v>1244</v>
      </c>
      <c r="C145" s="7" t="s">
        <v>99</v>
      </c>
      <c r="D145" s="7" t="s">
        <v>1711</v>
      </c>
      <c r="E145" s="7" t="s">
        <v>2132</v>
      </c>
      <c r="F145" s="7" t="s">
        <v>2136</v>
      </c>
      <c r="G145" s="7" t="s">
        <v>1246</v>
      </c>
      <c r="H145" s="7" t="s">
        <v>2137</v>
      </c>
      <c r="I145" s="7" t="s">
        <v>187</v>
      </c>
      <c r="J145" s="7" t="s">
        <v>2134</v>
      </c>
      <c r="K145" s="7" t="s">
        <v>1700</v>
      </c>
      <c r="L145" s="7" t="s">
        <v>105</v>
      </c>
      <c r="M145" s="7"/>
    </row>
    <row r="146" spans="1:13" ht="28" x14ac:dyDescent="0.2">
      <c r="A146" s="7" t="s">
        <v>486</v>
      </c>
      <c r="B146" s="7" t="s">
        <v>1235</v>
      </c>
      <c r="C146" s="7" t="s">
        <v>99</v>
      </c>
      <c r="D146" s="7" t="s">
        <v>1924</v>
      </c>
      <c r="E146" s="7" t="s">
        <v>2138</v>
      </c>
      <c r="F146" s="7" t="s">
        <v>999</v>
      </c>
      <c r="G146" s="7" t="s">
        <v>1098</v>
      </c>
      <c r="H146" s="7" t="s">
        <v>2139</v>
      </c>
      <c r="I146" s="7" t="s">
        <v>187</v>
      </c>
      <c r="J146" s="7" t="s">
        <v>2140</v>
      </c>
      <c r="K146" s="7" t="s">
        <v>1700</v>
      </c>
      <c r="L146" s="7" t="s">
        <v>105</v>
      </c>
      <c r="M146" s="7"/>
    </row>
    <row r="147" spans="1:13" ht="28" x14ac:dyDescent="0.2">
      <c r="A147" s="7" t="s">
        <v>486</v>
      </c>
      <c r="B147" s="7" t="s">
        <v>1244</v>
      </c>
      <c r="C147" s="7" t="s">
        <v>99</v>
      </c>
      <c r="D147" s="7" t="s">
        <v>1924</v>
      </c>
      <c r="E147" s="7" t="s">
        <v>2138</v>
      </c>
      <c r="F147" s="7" t="s">
        <v>136</v>
      </c>
      <c r="G147" s="7" t="s">
        <v>1246</v>
      </c>
      <c r="H147" s="7" t="s">
        <v>2141</v>
      </c>
      <c r="I147" s="7" t="s">
        <v>187</v>
      </c>
      <c r="J147" s="7" t="s">
        <v>2140</v>
      </c>
      <c r="K147" s="7" t="s">
        <v>1700</v>
      </c>
      <c r="L147" s="7" t="s">
        <v>105</v>
      </c>
      <c r="M147" s="7"/>
    </row>
    <row r="148" spans="1:13" ht="28" x14ac:dyDescent="0.2">
      <c r="A148" s="7" t="s">
        <v>486</v>
      </c>
      <c r="B148" s="7" t="s">
        <v>1235</v>
      </c>
      <c r="C148" s="7" t="s">
        <v>99</v>
      </c>
      <c r="D148" s="7" t="s">
        <v>2018</v>
      </c>
      <c r="E148" s="7" t="s">
        <v>2138</v>
      </c>
      <c r="F148" s="7" t="s">
        <v>1805</v>
      </c>
      <c r="G148" s="7" t="s">
        <v>1098</v>
      </c>
      <c r="H148" s="7" t="s">
        <v>2142</v>
      </c>
      <c r="I148" s="7" t="s">
        <v>187</v>
      </c>
      <c r="J148" s="7" t="s">
        <v>2143</v>
      </c>
      <c r="K148" s="7" t="s">
        <v>1700</v>
      </c>
      <c r="L148" s="7" t="s">
        <v>105</v>
      </c>
      <c r="M148" s="7"/>
    </row>
    <row r="149" spans="1:13" ht="28" x14ac:dyDescent="0.2">
      <c r="A149" s="7" t="s">
        <v>486</v>
      </c>
      <c r="B149" s="7" t="s">
        <v>1244</v>
      </c>
      <c r="C149" s="7" t="s">
        <v>99</v>
      </c>
      <c r="D149" s="7" t="s">
        <v>2018</v>
      </c>
      <c r="E149" s="7" t="s">
        <v>2138</v>
      </c>
      <c r="F149" s="7" t="s">
        <v>1832</v>
      </c>
      <c r="G149" s="7" t="s">
        <v>1246</v>
      </c>
      <c r="H149" s="7" t="s">
        <v>2144</v>
      </c>
      <c r="I149" s="7" t="s">
        <v>187</v>
      </c>
      <c r="J149" s="7" t="s">
        <v>2143</v>
      </c>
      <c r="K149" s="7" t="s">
        <v>1700</v>
      </c>
      <c r="L149" s="7" t="s">
        <v>105</v>
      </c>
      <c r="M149" s="7"/>
    </row>
    <row r="150" spans="1:13" ht="28" x14ac:dyDescent="0.2">
      <c r="A150" s="7" t="s">
        <v>486</v>
      </c>
      <c r="B150" s="7" t="s">
        <v>1235</v>
      </c>
      <c r="C150" s="7" t="s">
        <v>99</v>
      </c>
      <c r="D150" s="7" t="s">
        <v>2145</v>
      </c>
      <c r="E150" s="7" t="s">
        <v>1707</v>
      </c>
      <c r="F150" s="7" t="s">
        <v>1013</v>
      </c>
      <c r="G150" s="7" t="s">
        <v>1098</v>
      </c>
      <c r="H150" s="7" t="s">
        <v>2146</v>
      </c>
      <c r="I150" s="7" t="s">
        <v>187</v>
      </c>
      <c r="J150" s="7" t="s">
        <v>2147</v>
      </c>
      <c r="K150" s="7" t="s">
        <v>1700</v>
      </c>
      <c r="L150" s="7" t="s">
        <v>105</v>
      </c>
      <c r="M150" s="7"/>
    </row>
    <row r="151" spans="1:13" ht="28" x14ac:dyDescent="0.2">
      <c r="A151" s="7" t="s">
        <v>486</v>
      </c>
      <c r="B151" s="7" t="s">
        <v>1244</v>
      </c>
      <c r="C151" s="7" t="s">
        <v>99</v>
      </c>
      <c r="D151" s="7" t="s">
        <v>2145</v>
      </c>
      <c r="E151" s="7" t="s">
        <v>1707</v>
      </c>
      <c r="F151" s="7" t="s">
        <v>911</v>
      </c>
      <c r="G151" s="7" t="s">
        <v>1246</v>
      </c>
      <c r="H151" s="7" t="s">
        <v>2148</v>
      </c>
      <c r="I151" s="7" t="s">
        <v>187</v>
      </c>
      <c r="J151" s="7" t="s">
        <v>2147</v>
      </c>
      <c r="K151" s="7" t="s">
        <v>1700</v>
      </c>
      <c r="L151" s="7" t="s">
        <v>105</v>
      </c>
      <c r="M151" s="7"/>
    </row>
    <row r="152" spans="1:13" ht="28" x14ac:dyDescent="0.2">
      <c r="A152" s="7" t="s">
        <v>486</v>
      </c>
      <c r="B152" s="7" t="s">
        <v>1235</v>
      </c>
      <c r="C152" s="7" t="s">
        <v>99</v>
      </c>
      <c r="D152" s="7" t="s">
        <v>1706</v>
      </c>
      <c r="E152" s="7" t="s">
        <v>2149</v>
      </c>
      <c r="F152" s="7" t="s">
        <v>1252</v>
      </c>
      <c r="G152" s="7" t="s">
        <v>1098</v>
      </c>
      <c r="H152" s="7" t="s">
        <v>2150</v>
      </c>
      <c r="I152" s="7" t="s">
        <v>187</v>
      </c>
      <c r="J152" s="7" t="s">
        <v>2151</v>
      </c>
      <c r="K152" s="7" t="s">
        <v>1700</v>
      </c>
      <c r="L152" s="7" t="s">
        <v>105</v>
      </c>
      <c r="M152" s="7" t="s">
        <v>2152</v>
      </c>
    </row>
    <row r="153" spans="1:13" ht="28" x14ac:dyDescent="0.2">
      <c r="A153" s="7" t="s">
        <v>486</v>
      </c>
      <c r="B153" s="7" t="s">
        <v>1244</v>
      </c>
      <c r="C153" s="7" t="s">
        <v>99</v>
      </c>
      <c r="D153" s="7" t="s">
        <v>1706</v>
      </c>
      <c r="E153" s="7" t="s">
        <v>2149</v>
      </c>
      <c r="F153" s="7" t="s">
        <v>911</v>
      </c>
      <c r="G153" s="7" t="s">
        <v>1246</v>
      </c>
      <c r="H153" s="7" t="s">
        <v>2153</v>
      </c>
      <c r="I153" s="7" t="s">
        <v>187</v>
      </c>
      <c r="J153" s="7" t="s">
        <v>2151</v>
      </c>
      <c r="K153" s="7" t="s">
        <v>1700</v>
      </c>
      <c r="L153" s="7" t="s">
        <v>105</v>
      </c>
      <c r="M153" s="7" t="s">
        <v>2154</v>
      </c>
    </row>
    <row r="154" spans="1:13" ht="70" x14ac:dyDescent="0.2">
      <c r="A154" s="7" t="s">
        <v>501</v>
      </c>
      <c r="B154" s="7" t="s">
        <v>1235</v>
      </c>
      <c r="C154" s="7" t="s">
        <v>99</v>
      </c>
      <c r="D154" s="7" t="s">
        <v>1660</v>
      </c>
      <c r="E154" s="7" t="s">
        <v>2155</v>
      </c>
      <c r="F154" s="7" t="s">
        <v>251</v>
      </c>
      <c r="G154" s="7" t="s">
        <v>1252</v>
      </c>
      <c r="H154" s="7" t="s">
        <v>2156</v>
      </c>
      <c r="I154" s="7" t="s">
        <v>2157</v>
      </c>
      <c r="J154" s="7" t="s">
        <v>2158</v>
      </c>
      <c r="K154" s="7" t="s">
        <v>2159</v>
      </c>
      <c r="L154" s="7" t="s">
        <v>105</v>
      </c>
      <c r="M154" s="7" t="s">
        <v>2160</v>
      </c>
    </row>
    <row r="155" spans="1:13" ht="70" x14ac:dyDescent="0.2">
      <c r="A155" s="7" t="s">
        <v>501</v>
      </c>
      <c r="B155" s="7" t="s">
        <v>1244</v>
      </c>
      <c r="C155" s="7" t="s">
        <v>99</v>
      </c>
      <c r="D155" s="7" t="s">
        <v>1660</v>
      </c>
      <c r="E155" s="7" t="s">
        <v>2155</v>
      </c>
      <c r="F155" s="7" t="s">
        <v>1008</v>
      </c>
      <c r="G155" s="7" t="s">
        <v>927</v>
      </c>
      <c r="H155" s="7" t="s">
        <v>2161</v>
      </c>
      <c r="I155" s="7" t="s">
        <v>187</v>
      </c>
      <c r="J155" s="7" t="s">
        <v>2158</v>
      </c>
      <c r="K155" s="7" t="s">
        <v>2159</v>
      </c>
      <c r="L155" s="7" t="s">
        <v>105</v>
      </c>
      <c r="M155" s="7"/>
    </row>
    <row r="156" spans="1:13" ht="56" x14ac:dyDescent="0.2">
      <c r="A156" s="7" t="s">
        <v>501</v>
      </c>
      <c r="B156" s="7" t="s">
        <v>1235</v>
      </c>
      <c r="C156" s="7" t="s">
        <v>99</v>
      </c>
      <c r="D156" s="7" t="s">
        <v>2126</v>
      </c>
      <c r="E156" s="7" t="s">
        <v>2127</v>
      </c>
      <c r="F156" s="7" t="s">
        <v>187</v>
      </c>
      <c r="G156" s="7" t="s">
        <v>1252</v>
      </c>
      <c r="H156" s="7" t="s">
        <v>2162</v>
      </c>
      <c r="I156" s="7" t="s">
        <v>187</v>
      </c>
      <c r="J156" s="7" t="s">
        <v>2163</v>
      </c>
      <c r="K156" s="7" t="s">
        <v>1783</v>
      </c>
      <c r="L156" s="7" t="s">
        <v>105</v>
      </c>
      <c r="M156" s="7" t="s">
        <v>2164</v>
      </c>
    </row>
    <row r="157" spans="1:13" ht="56" x14ac:dyDescent="0.2">
      <c r="A157" s="7" t="s">
        <v>501</v>
      </c>
      <c r="B157" s="7" t="s">
        <v>1244</v>
      </c>
      <c r="C157" s="7" t="s">
        <v>99</v>
      </c>
      <c r="D157" s="7" t="s">
        <v>2126</v>
      </c>
      <c r="E157" s="7" t="s">
        <v>2127</v>
      </c>
      <c r="F157" s="7" t="s">
        <v>187</v>
      </c>
      <c r="G157" s="7" t="s">
        <v>927</v>
      </c>
      <c r="H157" s="7" t="s">
        <v>2165</v>
      </c>
      <c r="I157" s="7" t="s">
        <v>187</v>
      </c>
      <c r="J157" s="7" t="s">
        <v>2163</v>
      </c>
      <c r="K157" s="7" t="s">
        <v>1783</v>
      </c>
      <c r="L157" s="7" t="s">
        <v>105</v>
      </c>
      <c r="M157" s="7" t="s">
        <v>2166</v>
      </c>
    </row>
    <row r="158" spans="1:13" ht="28" x14ac:dyDescent="0.2">
      <c r="A158" s="7" t="s">
        <v>501</v>
      </c>
      <c r="B158" s="7" t="s">
        <v>1235</v>
      </c>
      <c r="C158" s="7" t="s">
        <v>99</v>
      </c>
      <c r="D158" s="7" t="s">
        <v>1711</v>
      </c>
      <c r="E158" s="7" t="s">
        <v>1707</v>
      </c>
      <c r="F158" s="7" t="s">
        <v>136</v>
      </c>
      <c r="G158" s="7" t="s">
        <v>1252</v>
      </c>
      <c r="H158" s="7" t="s">
        <v>2167</v>
      </c>
      <c r="I158" s="7" t="s">
        <v>187</v>
      </c>
      <c r="J158" s="7" t="s">
        <v>2168</v>
      </c>
      <c r="K158" s="7" t="s">
        <v>981</v>
      </c>
      <c r="L158" s="7" t="s">
        <v>105</v>
      </c>
      <c r="M158" s="7"/>
    </row>
    <row r="159" spans="1:13" ht="28" x14ac:dyDescent="0.2">
      <c r="A159" s="7" t="s">
        <v>501</v>
      </c>
      <c r="B159" s="7" t="s">
        <v>1244</v>
      </c>
      <c r="C159" s="7" t="s">
        <v>99</v>
      </c>
      <c r="D159" s="7" t="s">
        <v>1711</v>
      </c>
      <c r="E159" s="7" t="s">
        <v>1707</v>
      </c>
      <c r="F159" s="7" t="s">
        <v>843</v>
      </c>
      <c r="G159" s="7" t="s">
        <v>927</v>
      </c>
      <c r="H159" s="7" t="s">
        <v>2169</v>
      </c>
      <c r="I159" s="7" t="s">
        <v>187</v>
      </c>
      <c r="J159" s="7" t="s">
        <v>2168</v>
      </c>
      <c r="K159" s="7" t="s">
        <v>981</v>
      </c>
      <c r="L159" s="7" t="s">
        <v>105</v>
      </c>
      <c r="M159" s="7"/>
    </row>
    <row r="160" spans="1:13" ht="28" x14ac:dyDescent="0.2">
      <c r="A160" s="7" t="s">
        <v>501</v>
      </c>
      <c r="B160" s="7" t="s">
        <v>1235</v>
      </c>
      <c r="C160" s="7" t="s">
        <v>99</v>
      </c>
      <c r="D160" s="7" t="s">
        <v>2018</v>
      </c>
      <c r="E160" s="7" t="s">
        <v>1707</v>
      </c>
      <c r="F160" s="7" t="s">
        <v>1805</v>
      </c>
      <c r="G160" s="7" t="s">
        <v>1252</v>
      </c>
      <c r="H160" s="7" t="s">
        <v>2170</v>
      </c>
      <c r="I160" s="7" t="s">
        <v>187</v>
      </c>
      <c r="J160" s="7" t="s">
        <v>2171</v>
      </c>
      <c r="K160" s="7" t="s">
        <v>981</v>
      </c>
      <c r="L160" s="7" t="s">
        <v>105</v>
      </c>
      <c r="M160" s="7"/>
    </row>
    <row r="161" spans="1:13" ht="28" x14ac:dyDescent="0.2">
      <c r="A161" s="7" t="s">
        <v>501</v>
      </c>
      <c r="B161" s="7" t="s">
        <v>1244</v>
      </c>
      <c r="C161" s="7" t="s">
        <v>99</v>
      </c>
      <c r="D161" s="7" t="s">
        <v>2018</v>
      </c>
      <c r="E161" s="7" t="s">
        <v>1707</v>
      </c>
      <c r="F161" s="7" t="s">
        <v>1744</v>
      </c>
      <c r="G161" s="7" t="s">
        <v>927</v>
      </c>
      <c r="H161" s="7" t="s">
        <v>2172</v>
      </c>
      <c r="I161" s="7" t="s">
        <v>187</v>
      </c>
      <c r="J161" s="7" t="s">
        <v>2171</v>
      </c>
      <c r="K161" s="7" t="s">
        <v>981</v>
      </c>
      <c r="L161" s="7" t="s">
        <v>105</v>
      </c>
      <c r="M161" s="7"/>
    </row>
    <row r="162" spans="1:13" ht="28" x14ac:dyDescent="0.2">
      <c r="A162" s="7" t="s">
        <v>501</v>
      </c>
      <c r="B162" s="7" t="s">
        <v>1235</v>
      </c>
      <c r="C162" s="7" t="s">
        <v>99</v>
      </c>
      <c r="D162" s="7" t="s">
        <v>2173</v>
      </c>
      <c r="E162" s="7" t="s">
        <v>1707</v>
      </c>
      <c r="F162" s="7" t="s">
        <v>1200</v>
      </c>
      <c r="G162" s="7" t="s">
        <v>1252</v>
      </c>
      <c r="H162" s="7" t="s">
        <v>2174</v>
      </c>
      <c r="I162" s="7" t="s">
        <v>187</v>
      </c>
      <c r="J162" s="7" t="s">
        <v>2175</v>
      </c>
      <c r="K162" s="7" t="s">
        <v>981</v>
      </c>
      <c r="L162" s="7" t="s">
        <v>105</v>
      </c>
      <c r="M162" s="7"/>
    </row>
    <row r="163" spans="1:13" ht="28" x14ac:dyDescent="0.2">
      <c r="A163" s="7" t="s">
        <v>501</v>
      </c>
      <c r="B163" s="7" t="s">
        <v>1244</v>
      </c>
      <c r="C163" s="7" t="s">
        <v>99</v>
      </c>
      <c r="D163" s="7" t="s">
        <v>2173</v>
      </c>
      <c r="E163" s="7" t="s">
        <v>1707</v>
      </c>
      <c r="F163" s="7" t="s">
        <v>1200</v>
      </c>
      <c r="G163" s="7" t="s">
        <v>927</v>
      </c>
      <c r="H163" s="7" t="s">
        <v>2176</v>
      </c>
      <c r="I163" s="7" t="s">
        <v>187</v>
      </c>
      <c r="J163" s="7" t="s">
        <v>2175</v>
      </c>
      <c r="K163" s="7" t="s">
        <v>981</v>
      </c>
      <c r="L163" s="7" t="s">
        <v>105</v>
      </c>
      <c r="M163" s="7"/>
    </row>
    <row r="164" spans="1:13" ht="28" x14ac:dyDescent="0.2">
      <c r="A164" s="7" t="s">
        <v>501</v>
      </c>
      <c r="B164" s="7" t="s">
        <v>1235</v>
      </c>
      <c r="C164" s="7" t="s">
        <v>99</v>
      </c>
      <c r="D164" s="7" t="s">
        <v>2177</v>
      </c>
      <c r="E164" s="7" t="s">
        <v>1707</v>
      </c>
      <c r="F164" s="7" t="s">
        <v>1805</v>
      </c>
      <c r="G164" s="7" t="s">
        <v>1252</v>
      </c>
      <c r="H164" s="7" t="s">
        <v>2178</v>
      </c>
      <c r="I164" s="7" t="s">
        <v>187</v>
      </c>
      <c r="J164" s="7" t="s">
        <v>2179</v>
      </c>
      <c r="K164" s="7" t="s">
        <v>981</v>
      </c>
      <c r="L164" s="7" t="s">
        <v>105</v>
      </c>
      <c r="M164" s="7"/>
    </row>
    <row r="165" spans="1:13" ht="28" x14ac:dyDescent="0.2">
      <c r="A165" s="7" t="s">
        <v>501</v>
      </c>
      <c r="B165" s="7" t="s">
        <v>1244</v>
      </c>
      <c r="C165" s="7" t="s">
        <v>99</v>
      </c>
      <c r="D165" s="7" t="s">
        <v>2177</v>
      </c>
      <c r="E165" s="7" t="s">
        <v>1707</v>
      </c>
      <c r="F165" s="7" t="s">
        <v>844</v>
      </c>
      <c r="G165" s="7" t="s">
        <v>927</v>
      </c>
      <c r="H165" s="7" t="s">
        <v>2180</v>
      </c>
      <c r="I165" s="7" t="s">
        <v>187</v>
      </c>
      <c r="J165" s="7" t="s">
        <v>2179</v>
      </c>
      <c r="K165" s="7" t="s">
        <v>981</v>
      </c>
      <c r="L165" s="7" t="s">
        <v>105</v>
      </c>
      <c r="M165" s="7"/>
    </row>
    <row r="166" spans="1:13" ht="28" x14ac:dyDescent="0.2">
      <c r="A166" s="7" t="s">
        <v>501</v>
      </c>
      <c r="B166" s="7" t="s">
        <v>1235</v>
      </c>
      <c r="C166" s="7" t="s">
        <v>99</v>
      </c>
      <c r="D166" s="7" t="s">
        <v>1706</v>
      </c>
      <c r="E166" s="7" t="s">
        <v>2181</v>
      </c>
      <c r="F166" s="7" t="s">
        <v>346</v>
      </c>
      <c r="G166" s="7" t="s">
        <v>1252</v>
      </c>
      <c r="H166" s="7" t="s">
        <v>2182</v>
      </c>
      <c r="I166" s="7" t="s">
        <v>187</v>
      </c>
      <c r="J166" s="7" t="s">
        <v>2183</v>
      </c>
      <c r="K166" s="7" t="s">
        <v>981</v>
      </c>
      <c r="L166" s="7" t="s">
        <v>105</v>
      </c>
      <c r="M166" s="7" t="s">
        <v>2152</v>
      </c>
    </row>
    <row r="167" spans="1:13" ht="28" x14ac:dyDescent="0.2">
      <c r="A167" s="7" t="s">
        <v>501</v>
      </c>
      <c r="B167" s="7" t="s">
        <v>1244</v>
      </c>
      <c r="C167" s="7" t="s">
        <v>99</v>
      </c>
      <c r="D167" s="7" t="s">
        <v>1706</v>
      </c>
      <c r="E167" s="7" t="s">
        <v>2181</v>
      </c>
      <c r="F167" s="7" t="s">
        <v>1008</v>
      </c>
      <c r="G167" s="7" t="s">
        <v>927</v>
      </c>
      <c r="H167" s="7" t="s">
        <v>2184</v>
      </c>
      <c r="I167" s="7" t="s">
        <v>187</v>
      </c>
      <c r="J167" s="7" t="s">
        <v>2183</v>
      </c>
      <c r="K167" s="7" t="s">
        <v>981</v>
      </c>
      <c r="L167" s="7" t="s">
        <v>105</v>
      </c>
      <c r="M167" s="7" t="s">
        <v>2154</v>
      </c>
    </row>
    <row r="168" spans="1:13" ht="42" x14ac:dyDescent="0.2">
      <c r="A168" s="7" t="s">
        <v>516</v>
      </c>
      <c r="B168" s="7" t="s">
        <v>1271</v>
      </c>
      <c r="C168" s="7" t="s">
        <v>99</v>
      </c>
      <c r="D168" s="7" t="s">
        <v>2185</v>
      </c>
      <c r="E168" s="7" t="s">
        <v>2186</v>
      </c>
      <c r="F168" s="7" t="s">
        <v>844</v>
      </c>
      <c r="G168" s="7" t="s">
        <v>526</v>
      </c>
      <c r="H168" s="7" t="s">
        <v>2187</v>
      </c>
      <c r="I168" s="7" t="s">
        <v>187</v>
      </c>
      <c r="J168" s="7" t="s">
        <v>2188</v>
      </c>
      <c r="K168" s="7" t="s">
        <v>2189</v>
      </c>
      <c r="L168" s="7" t="s">
        <v>105</v>
      </c>
      <c r="M168" s="7"/>
    </row>
    <row r="169" spans="1:13" ht="28" x14ac:dyDescent="0.2">
      <c r="A169" s="7" t="s">
        <v>516</v>
      </c>
      <c r="B169" s="7" t="s">
        <v>1271</v>
      </c>
      <c r="C169" s="7" t="s">
        <v>99</v>
      </c>
      <c r="D169" s="7" t="s">
        <v>1676</v>
      </c>
      <c r="E169" s="7" t="s">
        <v>1677</v>
      </c>
      <c r="F169" s="7" t="s">
        <v>1200</v>
      </c>
      <c r="G169" s="7" t="s">
        <v>526</v>
      </c>
      <c r="H169" s="7" t="s">
        <v>2190</v>
      </c>
      <c r="I169" s="7" t="s">
        <v>187</v>
      </c>
      <c r="J169" s="7" t="s">
        <v>2191</v>
      </c>
      <c r="K169" s="7" t="s">
        <v>2192</v>
      </c>
      <c r="L169" s="7" t="s">
        <v>105</v>
      </c>
      <c r="M169" s="7"/>
    </row>
    <row r="170" spans="1:13" ht="56" x14ac:dyDescent="0.2">
      <c r="A170" s="7" t="s">
        <v>516</v>
      </c>
      <c r="B170" s="7" t="s">
        <v>1271</v>
      </c>
      <c r="C170" s="7" t="s">
        <v>99</v>
      </c>
      <c r="D170" s="7" t="s">
        <v>1706</v>
      </c>
      <c r="E170" s="7" t="s">
        <v>1707</v>
      </c>
      <c r="F170" s="7" t="s">
        <v>136</v>
      </c>
      <c r="G170" s="7" t="s">
        <v>526</v>
      </c>
      <c r="H170" s="7" t="s">
        <v>2193</v>
      </c>
      <c r="I170" s="7" t="s">
        <v>187</v>
      </c>
      <c r="J170" s="7" t="s">
        <v>2194</v>
      </c>
      <c r="K170" s="7" t="s">
        <v>2195</v>
      </c>
      <c r="L170" s="7" t="s">
        <v>105</v>
      </c>
      <c r="M170" s="7"/>
    </row>
    <row r="171" spans="1:13" ht="42" x14ac:dyDescent="0.2">
      <c r="A171" s="7" t="s">
        <v>532</v>
      </c>
      <c r="B171" s="7" t="s">
        <v>1281</v>
      </c>
      <c r="C171" s="7" t="s">
        <v>253</v>
      </c>
      <c r="D171" s="7" t="s">
        <v>2196</v>
      </c>
      <c r="E171" s="7" t="s">
        <v>2197</v>
      </c>
      <c r="F171" s="7" t="s">
        <v>251</v>
      </c>
      <c r="G171" s="7" t="s">
        <v>542</v>
      </c>
      <c r="H171" s="7" t="s">
        <v>2198</v>
      </c>
      <c r="I171" s="7" t="s">
        <v>187</v>
      </c>
      <c r="J171" s="7" t="s">
        <v>2199</v>
      </c>
      <c r="K171" s="7" t="s">
        <v>2200</v>
      </c>
      <c r="L171" s="7" t="s">
        <v>105</v>
      </c>
      <c r="M171" s="7"/>
    </row>
    <row r="172" spans="1:13" ht="70" x14ac:dyDescent="0.2">
      <c r="A172" s="7" t="s">
        <v>532</v>
      </c>
      <c r="B172" s="7" t="s">
        <v>1281</v>
      </c>
      <c r="C172" s="7" t="s">
        <v>253</v>
      </c>
      <c r="D172" s="7" t="s">
        <v>1714</v>
      </c>
      <c r="E172" s="7" t="s">
        <v>2197</v>
      </c>
      <c r="F172" s="7" t="s">
        <v>1013</v>
      </c>
      <c r="G172" s="7" t="s">
        <v>542</v>
      </c>
      <c r="H172" s="7" t="s">
        <v>2201</v>
      </c>
      <c r="I172" s="7" t="s">
        <v>187</v>
      </c>
      <c r="J172" s="7" t="s">
        <v>2202</v>
      </c>
      <c r="K172" s="7" t="s">
        <v>2203</v>
      </c>
      <c r="L172" s="7" t="s">
        <v>105</v>
      </c>
      <c r="M172" s="7"/>
    </row>
    <row r="173" spans="1:13" ht="42" x14ac:dyDescent="0.2">
      <c r="A173" s="7" t="s">
        <v>532</v>
      </c>
      <c r="B173" s="7" t="s">
        <v>1281</v>
      </c>
      <c r="C173" s="7" t="s">
        <v>253</v>
      </c>
      <c r="D173" s="7" t="s">
        <v>1735</v>
      </c>
      <c r="E173" s="7" t="s">
        <v>2197</v>
      </c>
      <c r="F173" s="7" t="s">
        <v>542</v>
      </c>
      <c r="G173" s="7" t="s">
        <v>542</v>
      </c>
      <c r="H173" s="7" t="s">
        <v>2204</v>
      </c>
      <c r="I173" s="7" t="s">
        <v>187</v>
      </c>
      <c r="J173" s="7" t="s">
        <v>2205</v>
      </c>
      <c r="K173" s="7" t="s">
        <v>2206</v>
      </c>
      <c r="L173" s="7" t="s">
        <v>105</v>
      </c>
      <c r="M173" s="7"/>
    </row>
    <row r="174" spans="1:13" ht="56" x14ac:dyDescent="0.2">
      <c r="A174" s="7" t="s">
        <v>548</v>
      </c>
      <c r="B174" s="7" t="s">
        <v>1291</v>
      </c>
      <c r="C174" s="7" t="s">
        <v>99</v>
      </c>
      <c r="D174" s="7" t="s">
        <v>2207</v>
      </c>
      <c r="E174" s="7" t="s">
        <v>2197</v>
      </c>
      <c r="F174" s="7" t="s">
        <v>1832</v>
      </c>
      <c r="G174" s="7" t="s">
        <v>346</v>
      </c>
      <c r="H174" s="7" t="s">
        <v>2208</v>
      </c>
      <c r="I174" s="7" t="s">
        <v>187</v>
      </c>
      <c r="J174" s="7" t="s">
        <v>2209</v>
      </c>
      <c r="K174" s="7" t="s">
        <v>2210</v>
      </c>
      <c r="L174" s="7" t="s">
        <v>105</v>
      </c>
      <c r="M174" s="7" t="s">
        <v>2211</v>
      </c>
    </row>
    <row r="175" spans="1:13" ht="56" x14ac:dyDescent="0.2">
      <c r="A175" s="7" t="s">
        <v>548</v>
      </c>
      <c r="B175" s="7" t="s">
        <v>1302</v>
      </c>
      <c r="C175" s="7" t="s">
        <v>253</v>
      </c>
      <c r="D175" s="7" t="s">
        <v>2207</v>
      </c>
      <c r="E175" s="7" t="s">
        <v>2197</v>
      </c>
      <c r="F175" s="7" t="s">
        <v>1008</v>
      </c>
      <c r="G175" s="7" t="s">
        <v>1074</v>
      </c>
      <c r="H175" s="7" t="s">
        <v>2212</v>
      </c>
      <c r="I175" s="7" t="s">
        <v>2213</v>
      </c>
      <c r="J175" s="7" t="s">
        <v>2214</v>
      </c>
      <c r="K175" s="7" t="s">
        <v>2215</v>
      </c>
      <c r="L175" s="7" t="s">
        <v>105</v>
      </c>
      <c r="M175" s="7" t="s">
        <v>2216</v>
      </c>
    </row>
    <row r="176" spans="1:13" ht="70" x14ac:dyDescent="0.2">
      <c r="A176" s="7" t="s">
        <v>563</v>
      </c>
      <c r="B176" s="7" t="s">
        <v>1305</v>
      </c>
      <c r="C176" s="7" t="s">
        <v>99</v>
      </c>
      <c r="D176" s="7" t="s">
        <v>1727</v>
      </c>
      <c r="E176" s="7" t="s">
        <v>2217</v>
      </c>
      <c r="F176" s="7" t="s">
        <v>600</v>
      </c>
      <c r="G176" s="7" t="s">
        <v>572</v>
      </c>
      <c r="H176" s="7" t="s">
        <v>2218</v>
      </c>
      <c r="I176" s="7" t="s">
        <v>2219</v>
      </c>
      <c r="J176" s="7" t="s">
        <v>2220</v>
      </c>
      <c r="K176" s="7" t="s">
        <v>2221</v>
      </c>
      <c r="L176" s="7" t="s">
        <v>105</v>
      </c>
      <c r="M176" s="7" t="s">
        <v>2222</v>
      </c>
    </row>
    <row r="177" spans="1:13" ht="42" x14ac:dyDescent="0.2">
      <c r="A177" s="7" t="s">
        <v>563</v>
      </c>
      <c r="B177" s="7" t="s">
        <v>1305</v>
      </c>
      <c r="C177" s="7" t="s">
        <v>99</v>
      </c>
      <c r="D177" s="7" t="s">
        <v>1660</v>
      </c>
      <c r="E177" s="7" t="s">
        <v>1666</v>
      </c>
      <c r="F177" s="7" t="s">
        <v>2223</v>
      </c>
      <c r="G177" s="7" t="s">
        <v>572</v>
      </c>
      <c r="H177" s="7" t="s">
        <v>2224</v>
      </c>
      <c r="I177" s="7" t="s">
        <v>2225</v>
      </c>
      <c r="J177" s="7" t="s">
        <v>2226</v>
      </c>
      <c r="K177" s="7" t="s">
        <v>1089</v>
      </c>
      <c r="L177" s="7" t="s">
        <v>105</v>
      </c>
      <c r="M177" s="7"/>
    </row>
    <row r="178" spans="1:13" ht="42" x14ac:dyDescent="0.2">
      <c r="A178" s="7" t="s">
        <v>563</v>
      </c>
      <c r="B178" s="7" t="s">
        <v>1305</v>
      </c>
      <c r="C178" s="7" t="s">
        <v>99</v>
      </c>
      <c r="D178" s="7" t="s">
        <v>1702</v>
      </c>
      <c r="E178" s="7" t="s">
        <v>2227</v>
      </c>
      <c r="F178" s="7" t="s">
        <v>2228</v>
      </c>
      <c r="G178" s="7" t="s">
        <v>572</v>
      </c>
      <c r="H178" s="7" t="s">
        <v>2229</v>
      </c>
      <c r="I178" s="7" t="s">
        <v>187</v>
      </c>
      <c r="J178" s="7" t="s">
        <v>2230</v>
      </c>
      <c r="K178" s="7" t="s">
        <v>866</v>
      </c>
      <c r="L178" s="7" t="s">
        <v>105</v>
      </c>
      <c r="M178" s="7"/>
    </row>
    <row r="179" spans="1:13" ht="42" x14ac:dyDescent="0.2">
      <c r="A179" s="7" t="s">
        <v>563</v>
      </c>
      <c r="B179" s="7" t="s">
        <v>1305</v>
      </c>
      <c r="C179" s="7" t="s">
        <v>99</v>
      </c>
      <c r="D179" s="7" t="s">
        <v>1735</v>
      </c>
      <c r="E179" s="7" t="s">
        <v>2231</v>
      </c>
      <c r="F179" s="7" t="s">
        <v>1372</v>
      </c>
      <c r="G179" s="7" t="s">
        <v>2232</v>
      </c>
      <c r="H179" s="7" t="s">
        <v>2233</v>
      </c>
      <c r="I179" s="7" t="s">
        <v>2225</v>
      </c>
      <c r="J179" s="7" t="s">
        <v>2234</v>
      </c>
      <c r="K179" s="7" t="s">
        <v>1089</v>
      </c>
      <c r="L179" s="7" t="s">
        <v>105</v>
      </c>
      <c r="M179" s="7" t="s">
        <v>2235</v>
      </c>
    </row>
    <row r="180" spans="1:13" ht="42" x14ac:dyDescent="0.2">
      <c r="A180" s="7" t="s">
        <v>563</v>
      </c>
      <c r="B180" s="7" t="s">
        <v>1305</v>
      </c>
      <c r="C180" s="7" t="s">
        <v>99</v>
      </c>
      <c r="D180" s="7" t="s">
        <v>2236</v>
      </c>
      <c r="E180" s="7" t="s">
        <v>2237</v>
      </c>
      <c r="F180" s="7" t="s">
        <v>1060</v>
      </c>
      <c r="G180" s="7" t="s">
        <v>2238</v>
      </c>
      <c r="H180" s="7" t="s">
        <v>2239</v>
      </c>
      <c r="I180" s="7" t="s">
        <v>2225</v>
      </c>
      <c r="J180" s="7" t="s">
        <v>2240</v>
      </c>
      <c r="K180" s="7" t="s">
        <v>1089</v>
      </c>
      <c r="L180" s="7" t="s">
        <v>105</v>
      </c>
      <c r="M180" s="7"/>
    </row>
    <row r="181" spans="1:13" ht="28" x14ac:dyDescent="0.2">
      <c r="A181" s="7" t="s">
        <v>578</v>
      </c>
      <c r="B181" s="7" t="s">
        <v>1317</v>
      </c>
      <c r="C181" s="7" t="s">
        <v>99</v>
      </c>
      <c r="D181" s="7" t="s">
        <v>1714</v>
      </c>
      <c r="E181" s="7" t="s">
        <v>2241</v>
      </c>
      <c r="F181" s="7" t="s">
        <v>450</v>
      </c>
      <c r="G181" s="7" t="s">
        <v>843</v>
      </c>
      <c r="H181" s="7" t="s">
        <v>2242</v>
      </c>
      <c r="I181" s="7" t="s">
        <v>187</v>
      </c>
      <c r="J181" s="7" t="s">
        <v>2243</v>
      </c>
      <c r="K181" s="7" t="s">
        <v>1700</v>
      </c>
      <c r="L181" s="7" t="s">
        <v>105</v>
      </c>
      <c r="M181" s="7"/>
    </row>
    <row r="182" spans="1:13" ht="56" x14ac:dyDescent="0.2">
      <c r="A182" s="7" t="s">
        <v>578</v>
      </c>
      <c r="B182" s="7" t="s">
        <v>1329</v>
      </c>
      <c r="C182" s="7" t="s">
        <v>253</v>
      </c>
      <c r="D182" s="7" t="s">
        <v>1714</v>
      </c>
      <c r="E182" s="7" t="s">
        <v>2241</v>
      </c>
      <c r="F182" s="7" t="s">
        <v>1708</v>
      </c>
      <c r="G182" s="7" t="s">
        <v>1331</v>
      </c>
      <c r="H182" s="7" t="s">
        <v>2244</v>
      </c>
      <c r="I182" s="7" t="s">
        <v>1731</v>
      </c>
      <c r="J182" s="7" t="s">
        <v>2245</v>
      </c>
      <c r="K182" s="7" t="s">
        <v>2246</v>
      </c>
      <c r="L182" s="7" t="s">
        <v>105</v>
      </c>
      <c r="M182" s="7"/>
    </row>
    <row r="183" spans="1:13" ht="56" x14ac:dyDescent="0.2">
      <c r="A183" s="7" t="s">
        <v>578</v>
      </c>
      <c r="B183" s="7" t="s">
        <v>1342</v>
      </c>
      <c r="C183" s="7" t="s">
        <v>1344</v>
      </c>
      <c r="D183" s="7" t="s">
        <v>1714</v>
      </c>
      <c r="E183" s="7" t="s">
        <v>2241</v>
      </c>
      <c r="F183" s="7" t="s">
        <v>465</v>
      </c>
      <c r="G183" s="7" t="s">
        <v>927</v>
      </c>
      <c r="H183" s="7" t="s">
        <v>2247</v>
      </c>
      <c r="I183" s="7" t="s">
        <v>187</v>
      </c>
      <c r="J183" s="7" t="s">
        <v>2243</v>
      </c>
      <c r="K183" s="7" t="s">
        <v>1700</v>
      </c>
      <c r="L183" s="7" t="s">
        <v>105</v>
      </c>
      <c r="M183" s="7"/>
    </row>
    <row r="184" spans="1:13" ht="28" x14ac:dyDescent="0.2">
      <c r="A184" s="7" t="s">
        <v>578</v>
      </c>
      <c r="B184" s="7" t="s">
        <v>1317</v>
      </c>
      <c r="C184" s="7" t="s">
        <v>99</v>
      </c>
      <c r="D184" s="7" t="s">
        <v>1727</v>
      </c>
      <c r="E184" s="7" t="s">
        <v>2248</v>
      </c>
      <c r="F184" s="7" t="s">
        <v>465</v>
      </c>
      <c r="G184" s="7" t="s">
        <v>843</v>
      </c>
      <c r="H184" s="7" t="s">
        <v>2249</v>
      </c>
      <c r="I184" s="7" t="s">
        <v>187</v>
      </c>
      <c r="J184" s="7" t="s">
        <v>2250</v>
      </c>
      <c r="K184" s="7" t="s">
        <v>1700</v>
      </c>
      <c r="L184" s="7" t="s">
        <v>105</v>
      </c>
      <c r="M184" s="7"/>
    </row>
    <row r="185" spans="1:13" ht="98" x14ac:dyDescent="0.2">
      <c r="A185" s="7" t="s">
        <v>578</v>
      </c>
      <c r="B185" s="7" t="s">
        <v>1329</v>
      </c>
      <c r="C185" s="7" t="s">
        <v>253</v>
      </c>
      <c r="D185" s="7" t="s">
        <v>1727</v>
      </c>
      <c r="E185" s="7" t="s">
        <v>2248</v>
      </c>
      <c r="F185" s="7" t="s">
        <v>2034</v>
      </c>
      <c r="G185" s="7" t="s">
        <v>1331</v>
      </c>
      <c r="H185" s="7" t="s">
        <v>2251</v>
      </c>
      <c r="I185" s="7" t="s">
        <v>187</v>
      </c>
      <c r="J185" s="7" t="s">
        <v>2252</v>
      </c>
      <c r="K185" s="7" t="s">
        <v>2253</v>
      </c>
      <c r="L185" s="7" t="s">
        <v>105</v>
      </c>
      <c r="M185" s="7"/>
    </row>
    <row r="186" spans="1:13" ht="56" x14ac:dyDescent="0.2">
      <c r="A186" s="7" t="s">
        <v>578</v>
      </c>
      <c r="B186" s="7" t="s">
        <v>1342</v>
      </c>
      <c r="C186" s="7" t="s">
        <v>1344</v>
      </c>
      <c r="D186" s="7" t="s">
        <v>1727</v>
      </c>
      <c r="E186" s="7" t="s">
        <v>2248</v>
      </c>
      <c r="F186" s="7" t="s">
        <v>1883</v>
      </c>
      <c r="G186" s="7" t="s">
        <v>927</v>
      </c>
      <c r="H186" s="7" t="s">
        <v>2254</v>
      </c>
      <c r="I186" s="7" t="s">
        <v>187</v>
      </c>
      <c r="J186" s="7" t="s">
        <v>2250</v>
      </c>
      <c r="K186" s="7" t="s">
        <v>1700</v>
      </c>
      <c r="L186" s="7" t="s">
        <v>105</v>
      </c>
      <c r="M186" s="7"/>
    </row>
    <row r="187" spans="1:13" ht="42" x14ac:dyDescent="0.2">
      <c r="A187" s="7" t="s">
        <v>578</v>
      </c>
      <c r="B187" s="7" t="s">
        <v>1317</v>
      </c>
      <c r="C187" s="7" t="s">
        <v>99</v>
      </c>
      <c r="D187" s="7" t="s">
        <v>1735</v>
      </c>
      <c r="E187" s="7" t="s">
        <v>2255</v>
      </c>
      <c r="F187" s="7" t="s">
        <v>450</v>
      </c>
      <c r="G187" s="7" t="s">
        <v>843</v>
      </c>
      <c r="H187" s="7" t="s">
        <v>2256</v>
      </c>
      <c r="I187" s="7" t="s">
        <v>187</v>
      </c>
      <c r="J187" s="7" t="s">
        <v>2257</v>
      </c>
      <c r="K187" s="7" t="s">
        <v>1700</v>
      </c>
      <c r="L187" s="7" t="s">
        <v>105</v>
      </c>
      <c r="M187" s="7"/>
    </row>
    <row r="188" spans="1:13" ht="42" x14ac:dyDescent="0.2">
      <c r="A188" s="7" t="s">
        <v>578</v>
      </c>
      <c r="B188" s="7" t="s">
        <v>1329</v>
      </c>
      <c r="C188" s="7" t="s">
        <v>253</v>
      </c>
      <c r="D188" s="7" t="s">
        <v>1735</v>
      </c>
      <c r="E188" s="7" t="s">
        <v>2255</v>
      </c>
      <c r="F188" s="7" t="s">
        <v>136</v>
      </c>
      <c r="G188" s="7" t="s">
        <v>1331</v>
      </c>
      <c r="H188" s="7" t="s">
        <v>2258</v>
      </c>
      <c r="I188" s="7" t="s">
        <v>187</v>
      </c>
      <c r="J188" s="7" t="s">
        <v>2257</v>
      </c>
      <c r="K188" s="7" t="s">
        <v>1700</v>
      </c>
      <c r="L188" s="7" t="s">
        <v>105</v>
      </c>
      <c r="M188" s="7"/>
    </row>
    <row r="189" spans="1:13" ht="56" x14ac:dyDescent="0.2">
      <c r="A189" s="7" t="s">
        <v>578</v>
      </c>
      <c r="B189" s="7" t="s">
        <v>1342</v>
      </c>
      <c r="C189" s="7" t="s">
        <v>1344</v>
      </c>
      <c r="D189" s="7" t="s">
        <v>1735</v>
      </c>
      <c r="E189" s="7" t="s">
        <v>2255</v>
      </c>
      <c r="F189" s="7" t="s">
        <v>1845</v>
      </c>
      <c r="G189" s="7" t="s">
        <v>927</v>
      </c>
      <c r="H189" s="7" t="s">
        <v>2259</v>
      </c>
      <c r="I189" s="7" t="s">
        <v>187</v>
      </c>
      <c r="J189" s="7" t="s">
        <v>2257</v>
      </c>
      <c r="K189" s="7" t="s">
        <v>1700</v>
      </c>
      <c r="L189" s="7" t="s">
        <v>105</v>
      </c>
      <c r="M189" s="7"/>
    </row>
    <row r="190" spans="1:13" ht="112" x14ac:dyDescent="0.2">
      <c r="A190" s="7" t="s">
        <v>578</v>
      </c>
      <c r="B190" s="7" t="s">
        <v>2260</v>
      </c>
      <c r="C190" s="7" t="s">
        <v>253</v>
      </c>
      <c r="D190" s="7" t="s">
        <v>1711</v>
      </c>
      <c r="E190" s="7" t="s">
        <v>1707</v>
      </c>
      <c r="F190" s="7" t="s">
        <v>2117</v>
      </c>
      <c r="G190" s="7" t="s">
        <v>586</v>
      </c>
      <c r="H190" s="7" t="s">
        <v>2261</v>
      </c>
      <c r="I190" s="7" t="s">
        <v>187</v>
      </c>
      <c r="J190" s="7" t="s">
        <v>2262</v>
      </c>
      <c r="K190" s="7" t="s">
        <v>2263</v>
      </c>
      <c r="L190" s="7" t="s">
        <v>105</v>
      </c>
      <c r="M190" s="7" t="s">
        <v>2264</v>
      </c>
    </row>
    <row r="191" spans="1:13" ht="28" x14ac:dyDescent="0.2">
      <c r="A191" s="7" t="s">
        <v>593</v>
      </c>
      <c r="B191" s="7" t="s">
        <v>1355</v>
      </c>
      <c r="C191" s="7" t="s">
        <v>99</v>
      </c>
      <c r="D191" s="7" t="s">
        <v>1690</v>
      </c>
      <c r="E191" s="7" t="s">
        <v>1691</v>
      </c>
      <c r="F191" s="7" t="s">
        <v>1051</v>
      </c>
      <c r="G191" s="7" t="s">
        <v>883</v>
      </c>
      <c r="H191" s="7" t="s">
        <v>2265</v>
      </c>
      <c r="I191" s="7" t="s">
        <v>187</v>
      </c>
      <c r="J191" s="7" t="s">
        <v>2266</v>
      </c>
      <c r="K191" s="7" t="s">
        <v>981</v>
      </c>
      <c r="L191" s="7" t="s">
        <v>105</v>
      </c>
      <c r="M191" s="7"/>
    </row>
    <row r="192" spans="1:13" ht="28" x14ac:dyDescent="0.2">
      <c r="A192" s="7" t="s">
        <v>593</v>
      </c>
      <c r="B192" s="7" t="s">
        <v>1362</v>
      </c>
      <c r="C192" s="7" t="s">
        <v>253</v>
      </c>
      <c r="D192" s="7" t="s">
        <v>1690</v>
      </c>
      <c r="E192" s="7" t="s">
        <v>1691</v>
      </c>
      <c r="F192" s="7" t="s">
        <v>346</v>
      </c>
      <c r="G192" s="7" t="s">
        <v>1018</v>
      </c>
      <c r="H192" s="7" t="s">
        <v>2267</v>
      </c>
      <c r="I192" s="7" t="s">
        <v>187</v>
      </c>
      <c r="J192" s="7" t="s">
        <v>2266</v>
      </c>
      <c r="K192" s="7" t="s">
        <v>981</v>
      </c>
      <c r="L192" s="7" t="s">
        <v>105</v>
      </c>
      <c r="M192" s="7"/>
    </row>
    <row r="193" spans="1:13" ht="42" x14ac:dyDescent="0.2">
      <c r="A193" s="7" t="s">
        <v>593</v>
      </c>
      <c r="B193" s="7" t="s">
        <v>1369</v>
      </c>
      <c r="C193" s="7" t="s">
        <v>1371</v>
      </c>
      <c r="D193" s="7" t="s">
        <v>1690</v>
      </c>
      <c r="E193" s="7" t="s">
        <v>1691</v>
      </c>
      <c r="F193" s="7" t="s">
        <v>954</v>
      </c>
      <c r="G193" s="7" t="s">
        <v>1372</v>
      </c>
      <c r="H193" s="7" t="s">
        <v>2268</v>
      </c>
      <c r="I193" s="7" t="s">
        <v>187</v>
      </c>
      <c r="J193" s="7" t="s">
        <v>2266</v>
      </c>
      <c r="K193" s="7" t="s">
        <v>981</v>
      </c>
      <c r="L193" s="7" t="s">
        <v>105</v>
      </c>
      <c r="M193" s="7"/>
    </row>
    <row r="194" spans="1:13" ht="28" x14ac:dyDescent="0.2">
      <c r="A194" s="7" t="s">
        <v>593</v>
      </c>
      <c r="B194" s="7" t="s">
        <v>1355</v>
      </c>
      <c r="C194" s="7" t="s">
        <v>99</v>
      </c>
      <c r="D194" s="7" t="s">
        <v>1735</v>
      </c>
      <c r="E194" s="7" t="s">
        <v>1703</v>
      </c>
      <c r="F194" s="7" t="s">
        <v>1331</v>
      </c>
      <c r="G194" s="7" t="s">
        <v>883</v>
      </c>
      <c r="H194" s="7" t="s">
        <v>2269</v>
      </c>
      <c r="I194" s="7" t="s">
        <v>187</v>
      </c>
      <c r="J194" s="7" t="s">
        <v>2270</v>
      </c>
      <c r="K194" s="7" t="s">
        <v>981</v>
      </c>
      <c r="L194" s="7" t="s">
        <v>105</v>
      </c>
      <c r="M194" s="7"/>
    </row>
    <row r="195" spans="1:13" ht="28" x14ac:dyDescent="0.2">
      <c r="A195" s="7" t="s">
        <v>593</v>
      </c>
      <c r="B195" s="7" t="s">
        <v>1362</v>
      </c>
      <c r="C195" s="7" t="s">
        <v>253</v>
      </c>
      <c r="D195" s="7" t="s">
        <v>1735</v>
      </c>
      <c r="E195" s="7" t="s">
        <v>1703</v>
      </c>
      <c r="F195" s="7" t="s">
        <v>1046</v>
      </c>
      <c r="G195" s="7" t="s">
        <v>1018</v>
      </c>
      <c r="H195" s="7" t="s">
        <v>2271</v>
      </c>
      <c r="I195" s="7" t="s">
        <v>187</v>
      </c>
      <c r="J195" s="7" t="s">
        <v>2270</v>
      </c>
      <c r="K195" s="7" t="s">
        <v>981</v>
      </c>
      <c r="L195" s="7" t="s">
        <v>105</v>
      </c>
      <c r="M195" s="7"/>
    </row>
    <row r="196" spans="1:13" ht="42" x14ac:dyDescent="0.2">
      <c r="A196" s="7" t="s">
        <v>593</v>
      </c>
      <c r="B196" s="7" t="s">
        <v>1369</v>
      </c>
      <c r="C196" s="7" t="s">
        <v>1371</v>
      </c>
      <c r="D196" s="7" t="s">
        <v>1735</v>
      </c>
      <c r="E196" s="7" t="s">
        <v>1703</v>
      </c>
      <c r="F196" s="7" t="s">
        <v>852</v>
      </c>
      <c r="G196" s="7" t="s">
        <v>1372</v>
      </c>
      <c r="H196" s="7" t="s">
        <v>2272</v>
      </c>
      <c r="I196" s="7" t="s">
        <v>187</v>
      </c>
      <c r="J196" s="7" t="s">
        <v>2270</v>
      </c>
      <c r="K196" s="7" t="s">
        <v>981</v>
      </c>
      <c r="L196" s="7" t="s">
        <v>105</v>
      </c>
      <c r="M196" s="7"/>
    </row>
    <row r="197" spans="1:13" ht="42" x14ac:dyDescent="0.2">
      <c r="A197" s="7" t="s">
        <v>593</v>
      </c>
      <c r="B197" s="7" t="s">
        <v>1355</v>
      </c>
      <c r="C197" s="7" t="s">
        <v>99</v>
      </c>
      <c r="D197" s="7" t="s">
        <v>2273</v>
      </c>
      <c r="E197" s="7" t="s">
        <v>2274</v>
      </c>
      <c r="F197" s="7" t="s">
        <v>1686</v>
      </c>
      <c r="G197" s="7" t="s">
        <v>1331</v>
      </c>
      <c r="H197" s="7" t="s">
        <v>2275</v>
      </c>
      <c r="I197" s="7" t="s">
        <v>187</v>
      </c>
      <c r="J197" s="7" t="s">
        <v>2276</v>
      </c>
      <c r="K197" s="7" t="s">
        <v>2091</v>
      </c>
      <c r="L197" s="7" t="s">
        <v>105</v>
      </c>
      <c r="M197" s="7" t="s">
        <v>2277</v>
      </c>
    </row>
    <row r="198" spans="1:13" ht="42" x14ac:dyDescent="0.2">
      <c r="A198" s="7" t="s">
        <v>593</v>
      </c>
      <c r="B198" s="7" t="s">
        <v>1362</v>
      </c>
      <c r="C198" s="7" t="s">
        <v>253</v>
      </c>
      <c r="D198" s="7" t="s">
        <v>2273</v>
      </c>
      <c r="E198" s="7" t="s">
        <v>2274</v>
      </c>
      <c r="F198" s="7" t="s">
        <v>346</v>
      </c>
      <c r="G198" s="7" t="s">
        <v>1046</v>
      </c>
      <c r="H198" s="7" t="s">
        <v>2278</v>
      </c>
      <c r="I198" s="7" t="s">
        <v>187</v>
      </c>
      <c r="J198" s="7" t="s">
        <v>2276</v>
      </c>
      <c r="K198" s="7" t="s">
        <v>2091</v>
      </c>
      <c r="L198" s="7" t="s">
        <v>105</v>
      </c>
      <c r="M198" s="7" t="s">
        <v>2277</v>
      </c>
    </row>
    <row r="199" spans="1:13" ht="42" x14ac:dyDescent="0.2">
      <c r="A199" s="7" t="s">
        <v>593</v>
      </c>
      <c r="B199" s="7" t="s">
        <v>1369</v>
      </c>
      <c r="C199" s="7" t="s">
        <v>1371</v>
      </c>
      <c r="D199" s="7" t="s">
        <v>2273</v>
      </c>
      <c r="E199" s="7" t="s">
        <v>2274</v>
      </c>
      <c r="F199" s="7" t="s">
        <v>954</v>
      </c>
      <c r="G199" s="7" t="s">
        <v>852</v>
      </c>
      <c r="H199" s="7" t="s">
        <v>2279</v>
      </c>
      <c r="I199" s="7" t="s">
        <v>187</v>
      </c>
      <c r="J199" s="7" t="s">
        <v>2276</v>
      </c>
      <c r="K199" s="7" t="s">
        <v>2091</v>
      </c>
      <c r="L199" s="7" t="s">
        <v>105</v>
      </c>
      <c r="M199" s="7" t="s">
        <v>2277</v>
      </c>
    </row>
    <row r="200" spans="1:13" ht="42" x14ac:dyDescent="0.2">
      <c r="A200" s="7" t="s">
        <v>607</v>
      </c>
      <c r="B200" s="7" t="s">
        <v>1378</v>
      </c>
      <c r="C200" s="7" t="s">
        <v>1380</v>
      </c>
      <c r="D200" s="7" t="s">
        <v>1727</v>
      </c>
      <c r="E200" s="7" t="s">
        <v>1746</v>
      </c>
      <c r="F200" s="7" t="s">
        <v>1107</v>
      </c>
      <c r="G200" s="7" t="s">
        <v>1381</v>
      </c>
      <c r="H200" s="7" t="s">
        <v>2280</v>
      </c>
      <c r="I200" s="7" t="s">
        <v>2281</v>
      </c>
      <c r="J200" s="7" t="s">
        <v>2282</v>
      </c>
      <c r="K200" s="7" t="s">
        <v>1808</v>
      </c>
      <c r="L200" s="7" t="s">
        <v>105</v>
      </c>
      <c r="M200" s="7" t="s">
        <v>2283</v>
      </c>
    </row>
    <row r="201" spans="1:13" ht="28" x14ac:dyDescent="0.2">
      <c r="A201" s="7" t="s">
        <v>607</v>
      </c>
      <c r="B201" s="7" t="s">
        <v>1389</v>
      </c>
      <c r="C201" s="7" t="s">
        <v>1391</v>
      </c>
      <c r="D201" s="7" t="s">
        <v>1727</v>
      </c>
      <c r="E201" s="7" t="s">
        <v>1746</v>
      </c>
      <c r="F201" s="7" t="s">
        <v>380</v>
      </c>
      <c r="G201" s="7" t="s">
        <v>1392</v>
      </c>
      <c r="H201" s="7" t="s">
        <v>2284</v>
      </c>
      <c r="I201" s="7" t="s">
        <v>2285</v>
      </c>
      <c r="J201" s="7" t="s">
        <v>2282</v>
      </c>
      <c r="K201" s="7" t="s">
        <v>1808</v>
      </c>
      <c r="L201" s="7" t="s">
        <v>105</v>
      </c>
      <c r="M201" s="7" t="s">
        <v>2286</v>
      </c>
    </row>
    <row r="202" spans="1:13" ht="28" x14ac:dyDescent="0.2">
      <c r="A202" s="7" t="s">
        <v>607</v>
      </c>
      <c r="B202" s="7" t="s">
        <v>1378</v>
      </c>
      <c r="C202" s="7" t="s">
        <v>1380</v>
      </c>
      <c r="D202" s="7" t="s">
        <v>1735</v>
      </c>
      <c r="E202" s="7" t="s">
        <v>1703</v>
      </c>
      <c r="F202" s="7" t="s">
        <v>1692</v>
      </c>
      <c r="G202" s="7" t="s">
        <v>1381</v>
      </c>
      <c r="H202" s="7" t="s">
        <v>2287</v>
      </c>
      <c r="I202" s="7" t="s">
        <v>187</v>
      </c>
      <c r="J202" s="7" t="s">
        <v>2288</v>
      </c>
      <c r="K202" s="7" t="s">
        <v>1808</v>
      </c>
      <c r="L202" s="7" t="s">
        <v>105</v>
      </c>
      <c r="M202" s="7"/>
    </row>
    <row r="203" spans="1:13" ht="28" x14ac:dyDescent="0.2">
      <c r="A203" s="7" t="s">
        <v>607</v>
      </c>
      <c r="B203" s="7" t="s">
        <v>1389</v>
      </c>
      <c r="C203" s="7" t="s">
        <v>1391</v>
      </c>
      <c r="D203" s="7" t="s">
        <v>1735</v>
      </c>
      <c r="E203" s="7" t="s">
        <v>1703</v>
      </c>
      <c r="F203" s="7" t="s">
        <v>1051</v>
      </c>
      <c r="G203" s="7" t="s">
        <v>1392</v>
      </c>
      <c r="H203" s="7" t="s">
        <v>2287</v>
      </c>
      <c r="I203" s="7" t="s">
        <v>187</v>
      </c>
      <c r="J203" s="7" t="s">
        <v>2288</v>
      </c>
      <c r="K203" s="7" t="s">
        <v>1808</v>
      </c>
      <c r="L203" s="7" t="s">
        <v>105</v>
      </c>
      <c r="M203" s="7"/>
    </row>
    <row r="204" spans="1:13" ht="56" x14ac:dyDescent="0.2">
      <c r="A204" s="7" t="s">
        <v>607</v>
      </c>
      <c r="B204" s="7" t="s">
        <v>1378</v>
      </c>
      <c r="C204" s="7" t="s">
        <v>1380</v>
      </c>
      <c r="D204" s="7" t="s">
        <v>1702</v>
      </c>
      <c r="E204" s="7" t="s">
        <v>2289</v>
      </c>
      <c r="F204" s="7" t="s">
        <v>510</v>
      </c>
      <c r="G204" s="7" t="s">
        <v>2290</v>
      </c>
      <c r="H204" s="7" t="s">
        <v>2291</v>
      </c>
      <c r="I204" s="7" t="s">
        <v>187</v>
      </c>
      <c r="J204" s="7" t="s">
        <v>2292</v>
      </c>
      <c r="K204" s="7" t="s">
        <v>1808</v>
      </c>
      <c r="L204" s="7" t="s">
        <v>105</v>
      </c>
      <c r="M204" s="7" t="s">
        <v>2293</v>
      </c>
    </row>
    <row r="205" spans="1:13" ht="28" x14ac:dyDescent="0.2">
      <c r="A205" s="7" t="s">
        <v>607</v>
      </c>
      <c r="B205" s="7" t="s">
        <v>1389</v>
      </c>
      <c r="C205" s="7" t="s">
        <v>1391</v>
      </c>
      <c r="D205" s="7" t="s">
        <v>1702</v>
      </c>
      <c r="E205" s="7" t="s">
        <v>2289</v>
      </c>
      <c r="F205" s="7" t="s">
        <v>869</v>
      </c>
      <c r="G205" s="7" t="s">
        <v>2294</v>
      </c>
      <c r="H205" s="7" t="s">
        <v>2291</v>
      </c>
      <c r="I205" s="7" t="s">
        <v>187</v>
      </c>
      <c r="J205" s="7" t="s">
        <v>2292</v>
      </c>
      <c r="K205" s="7" t="s">
        <v>1808</v>
      </c>
      <c r="L205" s="7" t="s">
        <v>105</v>
      </c>
      <c r="M205" s="7" t="s">
        <v>2295</v>
      </c>
    </row>
    <row r="206" spans="1:13" ht="28" x14ac:dyDescent="0.2">
      <c r="A206" s="7" t="s">
        <v>607</v>
      </c>
      <c r="B206" s="7" t="s">
        <v>1378</v>
      </c>
      <c r="C206" s="7" t="s">
        <v>1380</v>
      </c>
      <c r="D206" s="7" t="s">
        <v>1711</v>
      </c>
      <c r="E206" s="7" t="s">
        <v>1703</v>
      </c>
      <c r="F206" s="7" t="s">
        <v>927</v>
      </c>
      <c r="G206" s="7" t="s">
        <v>1381</v>
      </c>
      <c r="H206" s="7" t="s">
        <v>2296</v>
      </c>
      <c r="I206" s="7" t="s">
        <v>187</v>
      </c>
      <c r="J206" s="7" t="s">
        <v>2297</v>
      </c>
      <c r="K206" s="7" t="s">
        <v>1808</v>
      </c>
      <c r="L206" s="7" t="s">
        <v>105</v>
      </c>
      <c r="M206" s="7" t="s">
        <v>2298</v>
      </c>
    </row>
    <row r="207" spans="1:13" ht="28" x14ac:dyDescent="0.2">
      <c r="A207" s="7" t="s">
        <v>607</v>
      </c>
      <c r="B207" s="7" t="s">
        <v>1389</v>
      </c>
      <c r="C207" s="7" t="s">
        <v>1391</v>
      </c>
      <c r="D207" s="7" t="s">
        <v>1711</v>
      </c>
      <c r="E207" s="7" t="s">
        <v>1703</v>
      </c>
      <c r="F207" s="7" t="s">
        <v>346</v>
      </c>
      <c r="G207" s="7" t="s">
        <v>1392</v>
      </c>
      <c r="H207" s="7" t="s">
        <v>2296</v>
      </c>
      <c r="I207" s="7" t="s">
        <v>187</v>
      </c>
      <c r="J207" s="7" t="s">
        <v>2297</v>
      </c>
      <c r="K207" s="7" t="s">
        <v>1808</v>
      </c>
      <c r="L207" s="7" t="s">
        <v>105</v>
      </c>
      <c r="M207" s="7" t="s">
        <v>2298</v>
      </c>
    </row>
    <row r="208" spans="1:13" ht="42" x14ac:dyDescent="0.2">
      <c r="A208" s="7" t="s">
        <v>622</v>
      </c>
      <c r="B208" s="7" t="s">
        <v>1397</v>
      </c>
      <c r="C208" s="7" t="s">
        <v>99</v>
      </c>
      <c r="D208" s="7" t="s">
        <v>1690</v>
      </c>
      <c r="E208" s="7" t="s">
        <v>1691</v>
      </c>
      <c r="F208" s="7" t="s">
        <v>845</v>
      </c>
      <c r="G208" s="7" t="s">
        <v>632</v>
      </c>
      <c r="H208" s="7" t="s">
        <v>2299</v>
      </c>
      <c r="I208" s="7" t="s">
        <v>187</v>
      </c>
      <c r="J208" s="7" t="s">
        <v>2300</v>
      </c>
      <c r="K208" s="7" t="s">
        <v>924</v>
      </c>
      <c r="L208" s="7" t="s">
        <v>105</v>
      </c>
      <c r="M208" s="7" t="s">
        <v>2301</v>
      </c>
    </row>
    <row r="209" spans="1:13" ht="28" x14ac:dyDescent="0.2">
      <c r="A209" s="7" t="s">
        <v>622</v>
      </c>
      <c r="B209" s="7" t="s">
        <v>1397</v>
      </c>
      <c r="C209" s="7" t="s">
        <v>99</v>
      </c>
      <c r="D209" s="7" t="s">
        <v>1735</v>
      </c>
      <c r="E209" s="7" t="s">
        <v>1703</v>
      </c>
      <c r="F209" s="7" t="s">
        <v>2302</v>
      </c>
      <c r="G209" s="7" t="s">
        <v>632</v>
      </c>
      <c r="H209" s="7" t="s">
        <v>2303</v>
      </c>
      <c r="I209" s="7" t="s">
        <v>187</v>
      </c>
      <c r="J209" s="7" t="s">
        <v>2304</v>
      </c>
      <c r="K209" s="7" t="s">
        <v>924</v>
      </c>
      <c r="L209" s="7" t="s">
        <v>105</v>
      </c>
      <c r="M209" s="7"/>
    </row>
    <row r="210" spans="1:13" ht="28" x14ac:dyDescent="0.2">
      <c r="A210" s="7" t="s">
        <v>622</v>
      </c>
      <c r="B210" s="7" t="s">
        <v>1397</v>
      </c>
      <c r="C210" s="7" t="s">
        <v>99</v>
      </c>
      <c r="D210" s="7" t="s">
        <v>1702</v>
      </c>
      <c r="E210" s="7" t="s">
        <v>1703</v>
      </c>
      <c r="F210" s="7" t="s">
        <v>863</v>
      </c>
      <c r="G210" s="7" t="s">
        <v>632</v>
      </c>
      <c r="H210" s="7" t="s">
        <v>2305</v>
      </c>
      <c r="I210" s="7" t="s">
        <v>187</v>
      </c>
      <c r="J210" s="7" t="s">
        <v>2306</v>
      </c>
      <c r="K210" s="7" t="s">
        <v>924</v>
      </c>
      <c r="L210" s="7" t="s">
        <v>105</v>
      </c>
      <c r="M210" s="7"/>
    </row>
    <row r="211" spans="1:13" ht="42" x14ac:dyDescent="0.2">
      <c r="A211" s="7" t="s">
        <v>622</v>
      </c>
      <c r="B211" s="7" t="s">
        <v>1397</v>
      </c>
      <c r="C211" s="7" t="s">
        <v>99</v>
      </c>
      <c r="D211" s="7" t="s">
        <v>2307</v>
      </c>
      <c r="E211" s="7" t="s">
        <v>2308</v>
      </c>
      <c r="F211" s="7" t="s">
        <v>187</v>
      </c>
      <c r="G211" s="7" t="s">
        <v>1107</v>
      </c>
      <c r="H211" s="7" t="s">
        <v>2309</v>
      </c>
      <c r="I211" s="7" t="s">
        <v>2310</v>
      </c>
      <c r="J211" s="7" t="s">
        <v>2311</v>
      </c>
      <c r="K211" s="7" t="s">
        <v>2312</v>
      </c>
      <c r="L211" s="7" t="s">
        <v>105</v>
      </c>
      <c r="M211" s="7" t="s">
        <v>2313</v>
      </c>
    </row>
    <row r="212" spans="1:13" ht="56" x14ac:dyDescent="0.2">
      <c r="A212" s="7" t="s">
        <v>638</v>
      </c>
      <c r="B212" s="7" t="s">
        <v>1405</v>
      </c>
      <c r="C212" s="7" t="s">
        <v>99</v>
      </c>
      <c r="D212" s="7" t="s">
        <v>1690</v>
      </c>
      <c r="E212" s="7" t="s">
        <v>1691</v>
      </c>
      <c r="F212" s="7" t="s">
        <v>2314</v>
      </c>
      <c r="G212" s="7" t="s">
        <v>1407</v>
      </c>
      <c r="H212" s="7" t="s">
        <v>2315</v>
      </c>
      <c r="I212" s="7" t="s">
        <v>2316</v>
      </c>
      <c r="J212" s="7" t="s">
        <v>2317</v>
      </c>
      <c r="K212" s="7" t="s">
        <v>1696</v>
      </c>
      <c r="L212" s="7" t="s">
        <v>105</v>
      </c>
      <c r="M212" s="7" t="s">
        <v>2318</v>
      </c>
    </row>
    <row r="213" spans="1:13" ht="56" x14ac:dyDescent="0.2">
      <c r="A213" s="7" t="s">
        <v>638</v>
      </c>
      <c r="B213" s="7" t="s">
        <v>1416</v>
      </c>
      <c r="C213" s="7" t="s">
        <v>99</v>
      </c>
      <c r="D213" s="7" t="s">
        <v>1690</v>
      </c>
      <c r="E213" s="7" t="s">
        <v>1691</v>
      </c>
      <c r="F213" s="7" t="s">
        <v>2319</v>
      </c>
      <c r="G213" s="7" t="s">
        <v>1418</v>
      </c>
      <c r="H213" s="7" t="s">
        <v>2320</v>
      </c>
      <c r="I213" s="7" t="s">
        <v>2316</v>
      </c>
      <c r="J213" s="7" t="s">
        <v>2317</v>
      </c>
      <c r="K213" s="7" t="s">
        <v>1696</v>
      </c>
      <c r="L213" s="7" t="s">
        <v>105</v>
      </c>
      <c r="M213" s="7" t="s">
        <v>2321</v>
      </c>
    </row>
    <row r="214" spans="1:13" ht="56" x14ac:dyDescent="0.2">
      <c r="A214" s="7" t="s">
        <v>638</v>
      </c>
      <c r="B214" s="7" t="s">
        <v>1405</v>
      </c>
      <c r="C214" s="7" t="s">
        <v>99</v>
      </c>
      <c r="D214" s="7" t="s">
        <v>1938</v>
      </c>
      <c r="E214" s="7" t="s">
        <v>2322</v>
      </c>
      <c r="F214" s="7" t="s">
        <v>187</v>
      </c>
      <c r="G214" s="7" t="s">
        <v>1407</v>
      </c>
      <c r="H214" s="7" t="s">
        <v>2323</v>
      </c>
      <c r="I214" s="7" t="s">
        <v>2316</v>
      </c>
      <c r="J214" s="7" t="s">
        <v>2324</v>
      </c>
      <c r="K214" s="7" t="s">
        <v>1696</v>
      </c>
      <c r="L214" s="7" t="s">
        <v>105</v>
      </c>
      <c r="M214" s="7" t="s">
        <v>2325</v>
      </c>
    </row>
    <row r="215" spans="1:13" ht="56" x14ac:dyDescent="0.2">
      <c r="A215" s="7" t="s">
        <v>638</v>
      </c>
      <c r="B215" s="7" t="s">
        <v>1416</v>
      </c>
      <c r="C215" s="7" t="s">
        <v>99</v>
      </c>
      <c r="D215" s="7" t="s">
        <v>1938</v>
      </c>
      <c r="E215" s="7" t="s">
        <v>2326</v>
      </c>
      <c r="F215" s="7" t="s">
        <v>187</v>
      </c>
      <c r="G215" s="7" t="s">
        <v>1418</v>
      </c>
      <c r="H215" s="7" t="s">
        <v>2327</v>
      </c>
      <c r="I215" s="7" t="s">
        <v>2316</v>
      </c>
      <c r="J215" s="7" t="s">
        <v>2324</v>
      </c>
      <c r="K215" s="7" t="s">
        <v>1696</v>
      </c>
      <c r="L215" s="7" t="s">
        <v>105</v>
      </c>
      <c r="M215" s="7"/>
    </row>
    <row r="216" spans="1:13" ht="70" x14ac:dyDescent="0.2">
      <c r="A216" s="7" t="s">
        <v>638</v>
      </c>
      <c r="B216" s="7" t="s">
        <v>1405</v>
      </c>
      <c r="C216" s="7" t="s">
        <v>99</v>
      </c>
      <c r="D216" s="7" t="s">
        <v>1706</v>
      </c>
      <c r="E216" s="7" t="s">
        <v>2289</v>
      </c>
      <c r="F216" s="7" t="s">
        <v>187</v>
      </c>
      <c r="G216" s="7" t="s">
        <v>1407</v>
      </c>
      <c r="H216" s="7" t="s">
        <v>2328</v>
      </c>
      <c r="I216" s="7" t="s">
        <v>2316</v>
      </c>
      <c r="J216" s="7" t="s">
        <v>2329</v>
      </c>
      <c r="K216" s="7" t="s">
        <v>1696</v>
      </c>
      <c r="L216" s="7" t="s">
        <v>105</v>
      </c>
      <c r="M216" s="7" t="s">
        <v>2330</v>
      </c>
    </row>
    <row r="217" spans="1:13" ht="42" x14ac:dyDescent="0.2">
      <c r="A217" s="7" t="s">
        <v>638</v>
      </c>
      <c r="B217" s="7" t="s">
        <v>1416</v>
      </c>
      <c r="C217" s="7" t="s">
        <v>99</v>
      </c>
      <c r="D217" s="7" t="s">
        <v>1706</v>
      </c>
      <c r="E217" s="7" t="s">
        <v>2289</v>
      </c>
      <c r="F217" s="7" t="s">
        <v>187</v>
      </c>
      <c r="G217" s="7" t="s">
        <v>1418</v>
      </c>
      <c r="H217" s="7" t="s">
        <v>2331</v>
      </c>
      <c r="I217" s="7" t="s">
        <v>2316</v>
      </c>
      <c r="J217" s="7" t="s">
        <v>2329</v>
      </c>
      <c r="K217" s="7" t="s">
        <v>1696</v>
      </c>
      <c r="L217" s="7" t="s">
        <v>105</v>
      </c>
      <c r="M217" s="7"/>
    </row>
    <row r="218" spans="1:13" ht="70" x14ac:dyDescent="0.2">
      <c r="A218" s="7" t="s">
        <v>654</v>
      </c>
      <c r="B218" s="7" t="s">
        <v>1426</v>
      </c>
      <c r="C218" s="7" t="s">
        <v>99</v>
      </c>
      <c r="D218" s="7" t="s">
        <v>1690</v>
      </c>
      <c r="E218" s="7" t="s">
        <v>1691</v>
      </c>
      <c r="F218" s="7" t="s">
        <v>2332</v>
      </c>
      <c r="G218" s="7" t="s">
        <v>1427</v>
      </c>
      <c r="H218" s="7" t="s">
        <v>2333</v>
      </c>
      <c r="I218" s="7" t="s">
        <v>2316</v>
      </c>
      <c r="J218" s="7" t="s">
        <v>2334</v>
      </c>
      <c r="K218" s="7" t="s">
        <v>1696</v>
      </c>
      <c r="L218" s="7" t="s">
        <v>105</v>
      </c>
      <c r="M218" s="7" t="s">
        <v>2335</v>
      </c>
    </row>
    <row r="219" spans="1:13" ht="84" x14ac:dyDescent="0.2">
      <c r="A219" s="7" t="s">
        <v>654</v>
      </c>
      <c r="B219" s="7" t="s">
        <v>1435</v>
      </c>
      <c r="C219" s="7" t="s">
        <v>1209</v>
      </c>
      <c r="D219" s="7" t="s">
        <v>1690</v>
      </c>
      <c r="E219" s="7" t="s">
        <v>1691</v>
      </c>
      <c r="F219" s="7" t="s">
        <v>1138</v>
      </c>
      <c r="G219" s="7" t="s">
        <v>716</v>
      </c>
      <c r="H219" s="7" t="s">
        <v>2336</v>
      </c>
      <c r="I219" s="7" t="s">
        <v>2316</v>
      </c>
      <c r="J219" s="7" t="s">
        <v>2337</v>
      </c>
      <c r="K219" s="7" t="s">
        <v>1696</v>
      </c>
      <c r="L219" s="7" t="s">
        <v>105</v>
      </c>
      <c r="M219" s="7" t="s">
        <v>2338</v>
      </c>
    </row>
    <row r="220" spans="1:13" ht="70" x14ac:dyDescent="0.2">
      <c r="A220" s="7" t="s">
        <v>665</v>
      </c>
      <c r="B220" s="7" t="s">
        <v>1443</v>
      </c>
      <c r="C220" s="7" t="s">
        <v>99</v>
      </c>
      <c r="D220" s="7" t="s">
        <v>1690</v>
      </c>
      <c r="E220" s="7" t="s">
        <v>1691</v>
      </c>
      <c r="F220" s="7" t="s">
        <v>2339</v>
      </c>
      <c r="G220" s="7" t="s">
        <v>1444</v>
      </c>
      <c r="H220" s="7" t="s">
        <v>2340</v>
      </c>
      <c r="I220" s="7" t="s">
        <v>2341</v>
      </c>
      <c r="J220" s="7" t="s">
        <v>2342</v>
      </c>
      <c r="K220" s="7" t="s">
        <v>1696</v>
      </c>
      <c r="L220" s="7" t="s">
        <v>105</v>
      </c>
      <c r="M220" s="7" t="s">
        <v>2343</v>
      </c>
    </row>
    <row r="221" spans="1:13" ht="56" x14ac:dyDescent="0.2">
      <c r="A221" s="7" t="s">
        <v>665</v>
      </c>
      <c r="B221" s="7" t="s">
        <v>1453</v>
      </c>
      <c r="C221" s="7" t="s">
        <v>1454</v>
      </c>
      <c r="D221" s="7" t="s">
        <v>1690</v>
      </c>
      <c r="E221" s="7" t="s">
        <v>1691</v>
      </c>
      <c r="F221" s="7" t="s">
        <v>2344</v>
      </c>
      <c r="G221" s="7" t="s">
        <v>1455</v>
      </c>
      <c r="H221" s="7" t="s">
        <v>2345</v>
      </c>
      <c r="I221" s="7" t="s">
        <v>2341</v>
      </c>
      <c r="J221" s="7" t="s">
        <v>2342</v>
      </c>
      <c r="K221" s="7" t="s">
        <v>1696</v>
      </c>
      <c r="L221" s="7" t="s">
        <v>105</v>
      </c>
      <c r="M221" s="7" t="s">
        <v>2346</v>
      </c>
    </row>
    <row r="222" spans="1:13" ht="70" x14ac:dyDescent="0.2">
      <c r="A222" s="7" t="s">
        <v>665</v>
      </c>
      <c r="B222" s="7" t="s">
        <v>1443</v>
      </c>
      <c r="C222" s="7" t="s">
        <v>99</v>
      </c>
      <c r="D222" s="7" t="s">
        <v>1938</v>
      </c>
      <c r="E222" s="7" t="s">
        <v>2347</v>
      </c>
      <c r="F222" s="7" t="s">
        <v>187</v>
      </c>
      <c r="G222" s="7" t="s">
        <v>1444</v>
      </c>
      <c r="H222" s="7" t="s">
        <v>2348</v>
      </c>
      <c r="I222" s="7" t="s">
        <v>2316</v>
      </c>
      <c r="J222" s="7" t="s">
        <v>2349</v>
      </c>
      <c r="K222" s="7" t="s">
        <v>1696</v>
      </c>
      <c r="L222" s="7" t="s">
        <v>105</v>
      </c>
      <c r="M222" s="7" t="s">
        <v>2350</v>
      </c>
    </row>
    <row r="223" spans="1:13" ht="42" x14ac:dyDescent="0.2">
      <c r="A223" s="7" t="s">
        <v>665</v>
      </c>
      <c r="B223" s="7" t="s">
        <v>1453</v>
      </c>
      <c r="C223" s="7" t="s">
        <v>1454</v>
      </c>
      <c r="D223" s="7" t="s">
        <v>1938</v>
      </c>
      <c r="E223" s="7" t="s">
        <v>2326</v>
      </c>
      <c r="F223" s="7" t="s">
        <v>187</v>
      </c>
      <c r="G223" s="7" t="s">
        <v>1455</v>
      </c>
      <c r="H223" s="7" t="s">
        <v>2351</v>
      </c>
      <c r="I223" s="7" t="s">
        <v>2316</v>
      </c>
      <c r="J223" s="7" t="s">
        <v>2349</v>
      </c>
      <c r="K223" s="7" t="s">
        <v>1696</v>
      </c>
      <c r="L223" s="7" t="s">
        <v>105</v>
      </c>
      <c r="M223" s="7"/>
    </row>
    <row r="224" spans="1:13" ht="42" x14ac:dyDescent="0.2">
      <c r="A224" s="7" t="s">
        <v>675</v>
      </c>
      <c r="B224" s="7" t="s">
        <v>1462</v>
      </c>
      <c r="C224" s="7" t="s">
        <v>99</v>
      </c>
      <c r="D224" s="7" t="s">
        <v>1690</v>
      </c>
      <c r="E224" s="7" t="s">
        <v>2352</v>
      </c>
      <c r="F224" s="7" t="s">
        <v>853</v>
      </c>
      <c r="G224" s="7" t="s">
        <v>1463</v>
      </c>
      <c r="H224" s="7" t="s">
        <v>2353</v>
      </c>
      <c r="I224" s="7" t="s">
        <v>2354</v>
      </c>
      <c r="J224" s="7" t="s">
        <v>2355</v>
      </c>
      <c r="K224" s="7" t="s">
        <v>1696</v>
      </c>
      <c r="L224" s="7" t="s">
        <v>105</v>
      </c>
      <c r="M224" s="7" t="s">
        <v>2356</v>
      </c>
    </row>
    <row r="225" spans="1:13" ht="42" x14ac:dyDescent="0.2">
      <c r="A225" s="7" t="s">
        <v>675</v>
      </c>
      <c r="B225" s="7" t="s">
        <v>1470</v>
      </c>
      <c r="C225" s="7" t="s">
        <v>253</v>
      </c>
      <c r="D225" s="7" t="s">
        <v>1690</v>
      </c>
      <c r="E225" s="7" t="s">
        <v>2352</v>
      </c>
      <c r="F225" s="7" t="s">
        <v>1018</v>
      </c>
      <c r="G225" s="7" t="s">
        <v>1472</v>
      </c>
      <c r="H225" s="7" t="s">
        <v>2357</v>
      </c>
      <c r="I225" s="7" t="s">
        <v>2354</v>
      </c>
      <c r="J225" s="7" t="s">
        <v>2355</v>
      </c>
      <c r="K225" s="7" t="s">
        <v>1696</v>
      </c>
      <c r="L225" s="7" t="s">
        <v>105</v>
      </c>
      <c r="M225" s="7" t="s">
        <v>2358</v>
      </c>
    </row>
    <row r="226" spans="1:13" ht="42" x14ac:dyDescent="0.2">
      <c r="A226" s="7" t="s">
        <v>675</v>
      </c>
      <c r="B226" s="7" t="s">
        <v>1462</v>
      </c>
      <c r="C226" s="7" t="s">
        <v>99</v>
      </c>
      <c r="D226" s="7" t="s">
        <v>1714</v>
      </c>
      <c r="E226" s="7" t="s">
        <v>2241</v>
      </c>
      <c r="F226" s="7" t="s">
        <v>329</v>
      </c>
      <c r="G226" s="7" t="s">
        <v>1463</v>
      </c>
      <c r="H226" s="7" t="s">
        <v>2359</v>
      </c>
      <c r="I226" s="7" t="s">
        <v>187</v>
      </c>
      <c r="J226" s="7" t="s">
        <v>2360</v>
      </c>
      <c r="K226" s="7" t="s">
        <v>1696</v>
      </c>
      <c r="L226" s="7" t="s">
        <v>105</v>
      </c>
      <c r="M226" s="7" t="s">
        <v>2361</v>
      </c>
    </row>
    <row r="227" spans="1:13" ht="42" x14ac:dyDescent="0.2">
      <c r="A227" s="7" t="s">
        <v>675</v>
      </c>
      <c r="B227" s="7" t="s">
        <v>1470</v>
      </c>
      <c r="C227" s="7" t="s">
        <v>253</v>
      </c>
      <c r="D227" s="7" t="s">
        <v>1714</v>
      </c>
      <c r="E227" s="7" t="s">
        <v>2241</v>
      </c>
      <c r="F227" s="7" t="s">
        <v>2362</v>
      </c>
      <c r="G227" s="7" t="s">
        <v>1472</v>
      </c>
      <c r="H227" s="7" t="s">
        <v>2363</v>
      </c>
      <c r="I227" s="7" t="s">
        <v>187</v>
      </c>
      <c r="J227" s="7" t="s">
        <v>2360</v>
      </c>
      <c r="K227" s="7" t="s">
        <v>1696</v>
      </c>
      <c r="L227" s="7" t="s">
        <v>105</v>
      </c>
      <c r="M227" s="7" t="s">
        <v>2364</v>
      </c>
    </row>
    <row r="228" spans="1:13" ht="28" x14ac:dyDescent="0.2">
      <c r="A228" s="7" t="s">
        <v>675</v>
      </c>
      <c r="B228" s="7" t="s">
        <v>1462</v>
      </c>
      <c r="C228" s="7" t="s">
        <v>99</v>
      </c>
      <c r="D228" s="7" t="s">
        <v>1735</v>
      </c>
      <c r="E228" s="7" t="s">
        <v>1707</v>
      </c>
      <c r="F228" s="7" t="s">
        <v>893</v>
      </c>
      <c r="G228" s="7" t="s">
        <v>1463</v>
      </c>
      <c r="H228" s="7" t="s">
        <v>2365</v>
      </c>
      <c r="I228" s="7" t="s">
        <v>187</v>
      </c>
      <c r="J228" s="7" t="s">
        <v>2366</v>
      </c>
      <c r="K228" s="7" t="s">
        <v>1700</v>
      </c>
      <c r="L228" s="7" t="s">
        <v>105</v>
      </c>
      <c r="M228" s="7" t="s">
        <v>2367</v>
      </c>
    </row>
    <row r="229" spans="1:13" ht="42" x14ac:dyDescent="0.2">
      <c r="A229" s="7" t="s">
        <v>675</v>
      </c>
      <c r="B229" s="7" t="s">
        <v>1470</v>
      </c>
      <c r="C229" s="7" t="s">
        <v>253</v>
      </c>
      <c r="D229" s="7" t="s">
        <v>1735</v>
      </c>
      <c r="E229" s="7" t="s">
        <v>1707</v>
      </c>
      <c r="F229" s="7" t="s">
        <v>185</v>
      </c>
      <c r="G229" s="7" t="s">
        <v>1472</v>
      </c>
      <c r="H229" s="7" t="s">
        <v>2368</v>
      </c>
      <c r="I229" s="7" t="s">
        <v>187</v>
      </c>
      <c r="J229" s="7" t="s">
        <v>2366</v>
      </c>
      <c r="K229" s="7" t="s">
        <v>1700</v>
      </c>
      <c r="L229" s="7" t="s">
        <v>105</v>
      </c>
      <c r="M229" s="7"/>
    </row>
    <row r="230" spans="1:13" ht="70" x14ac:dyDescent="0.2">
      <c r="A230" s="7" t="s">
        <v>675</v>
      </c>
      <c r="B230" s="7" t="s">
        <v>1470</v>
      </c>
      <c r="C230" s="7" t="s">
        <v>253</v>
      </c>
      <c r="D230" s="7" t="s">
        <v>1711</v>
      </c>
      <c r="E230" s="7" t="s">
        <v>1707</v>
      </c>
      <c r="F230" s="7" t="s">
        <v>850</v>
      </c>
      <c r="G230" s="7" t="s">
        <v>1472</v>
      </c>
      <c r="H230" s="7" t="s">
        <v>2369</v>
      </c>
      <c r="I230" s="7" t="s">
        <v>187</v>
      </c>
      <c r="J230" s="7" t="s">
        <v>2370</v>
      </c>
      <c r="K230" s="7" t="s">
        <v>2371</v>
      </c>
      <c r="L230" s="7" t="s">
        <v>105</v>
      </c>
      <c r="M230" s="7" t="s">
        <v>2372</v>
      </c>
    </row>
    <row r="231" spans="1:13" ht="42" x14ac:dyDescent="0.2">
      <c r="A231" s="7" t="s">
        <v>692</v>
      </c>
      <c r="B231" s="7" t="s">
        <v>1481</v>
      </c>
      <c r="C231" s="7" t="s">
        <v>99</v>
      </c>
      <c r="D231" s="7" t="s">
        <v>2373</v>
      </c>
      <c r="E231" s="7" t="s">
        <v>1910</v>
      </c>
      <c r="F231" s="7" t="s">
        <v>136</v>
      </c>
      <c r="G231" s="7" t="s">
        <v>702</v>
      </c>
      <c r="H231" s="7" t="s">
        <v>2374</v>
      </c>
      <c r="I231" s="7" t="s">
        <v>187</v>
      </c>
      <c r="J231" s="7" t="s">
        <v>2375</v>
      </c>
      <c r="K231" s="7" t="s">
        <v>2032</v>
      </c>
      <c r="L231" s="7" t="s">
        <v>105</v>
      </c>
      <c r="M231" s="7" t="s">
        <v>2376</v>
      </c>
    </row>
    <row r="232" spans="1:13" ht="98" x14ac:dyDescent="0.2">
      <c r="A232" s="7" t="s">
        <v>692</v>
      </c>
      <c r="B232" s="7" t="s">
        <v>1481</v>
      </c>
      <c r="C232" s="7" t="s">
        <v>99</v>
      </c>
      <c r="D232" s="7" t="s">
        <v>2377</v>
      </c>
      <c r="E232" s="7" t="s">
        <v>2378</v>
      </c>
      <c r="F232" s="7" t="s">
        <v>187</v>
      </c>
      <c r="G232" s="7" t="s">
        <v>702</v>
      </c>
      <c r="H232" s="7" t="s">
        <v>2379</v>
      </c>
      <c r="I232" s="7" t="s">
        <v>2380</v>
      </c>
      <c r="J232" s="7" t="s">
        <v>2381</v>
      </c>
      <c r="K232" s="7" t="s">
        <v>1700</v>
      </c>
      <c r="L232" s="7" t="s">
        <v>105</v>
      </c>
      <c r="M232" s="7" t="s">
        <v>2382</v>
      </c>
    </row>
    <row r="233" spans="1:13" ht="70" x14ac:dyDescent="0.2">
      <c r="A233" s="7" t="s">
        <v>708</v>
      </c>
      <c r="B233" s="7" t="s">
        <v>1492</v>
      </c>
      <c r="C233" s="7" t="s">
        <v>1494</v>
      </c>
      <c r="D233" s="7" t="s">
        <v>2007</v>
      </c>
      <c r="E233" s="7" t="s">
        <v>2383</v>
      </c>
      <c r="F233" s="7" t="s">
        <v>542</v>
      </c>
      <c r="G233" s="7" t="s">
        <v>1066</v>
      </c>
      <c r="H233" s="7" t="s">
        <v>2384</v>
      </c>
      <c r="I233" s="7" t="s">
        <v>2385</v>
      </c>
      <c r="J233" s="7" t="s">
        <v>2386</v>
      </c>
      <c r="K233" s="7" t="s">
        <v>2206</v>
      </c>
      <c r="L233" s="7" t="s">
        <v>105</v>
      </c>
      <c r="M233" s="7" t="s">
        <v>2387</v>
      </c>
    </row>
    <row r="234" spans="1:13" ht="42" x14ac:dyDescent="0.2">
      <c r="A234" s="7" t="s">
        <v>708</v>
      </c>
      <c r="B234" s="7" t="s">
        <v>1504</v>
      </c>
      <c r="C234" s="7" t="s">
        <v>1371</v>
      </c>
      <c r="D234" s="7" t="s">
        <v>2007</v>
      </c>
      <c r="E234" s="7" t="s">
        <v>2383</v>
      </c>
      <c r="F234" s="7" t="s">
        <v>136</v>
      </c>
      <c r="G234" s="7" t="s">
        <v>950</v>
      </c>
      <c r="H234" s="7" t="s">
        <v>2384</v>
      </c>
      <c r="I234" s="7" t="s">
        <v>2385</v>
      </c>
      <c r="J234" s="7" t="s">
        <v>2388</v>
      </c>
      <c r="K234" s="7" t="s">
        <v>2206</v>
      </c>
      <c r="L234" s="7" t="s">
        <v>105</v>
      </c>
      <c r="M234" s="7" t="s">
        <v>2387</v>
      </c>
    </row>
    <row r="235" spans="1:13" ht="56" x14ac:dyDescent="0.2">
      <c r="A235" s="7" t="s">
        <v>708</v>
      </c>
      <c r="B235" s="7" t="s">
        <v>1492</v>
      </c>
      <c r="C235" s="7" t="s">
        <v>1494</v>
      </c>
      <c r="D235" s="7" t="s">
        <v>2007</v>
      </c>
      <c r="E235" s="7" t="s">
        <v>2389</v>
      </c>
      <c r="F235" s="7" t="s">
        <v>844</v>
      </c>
      <c r="G235" s="7" t="s">
        <v>1692</v>
      </c>
      <c r="H235" s="7" t="s">
        <v>2390</v>
      </c>
      <c r="I235" s="7" t="s">
        <v>2385</v>
      </c>
      <c r="J235" s="7" t="s">
        <v>2391</v>
      </c>
      <c r="K235" s="7" t="s">
        <v>1674</v>
      </c>
      <c r="L235" s="7" t="s">
        <v>105</v>
      </c>
      <c r="M235" s="7" t="s">
        <v>2392</v>
      </c>
    </row>
    <row r="236" spans="1:13" ht="42" x14ac:dyDescent="0.2">
      <c r="A236" s="7" t="s">
        <v>708</v>
      </c>
      <c r="B236" s="7" t="s">
        <v>1504</v>
      </c>
      <c r="C236" s="7" t="s">
        <v>1371</v>
      </c>
      <c r="D236" s="7" t="s">
        <v>2007</v>
      </c>
      <c r="E236" s="7" t="s">
        <v>2389</v>
      </c>
      <c r="F236" s="7" t="s">
        <v>465</v>
      </c>
      <c r="G236" s="7" t="s">
        <v>1098</v>
      </c>
      <c r="H236" s="7" t="s">
        <v>2390</v>
      </c>
      <c r="I236" s="7" t="s">
        <v>2385</v>
      </c>
      <c r="J236" s="7" t="s">
        <v>2393</v>
      </c>
      <c r="K236" s="7" t="s">
        <v>1674</v>
      </c>
      <c r="L236" s="7" t="s">
        <v>105</v>
      </c>
      <c r="M236" s="7" t="s">
        <v>2392</v>
      </c>
    </row>
    <row r="237" spans="1:13" ht="70" x14ac:dyDescent="0.2">
      <c r="A237" s="7" t="s">
        <v>708</v>
      </c>
      <c r="B237" s="7" t="s">
        <v>1492</v>
      </c>
      <c r="C237" s="7" t="s">
        <v>1494</v>
      </c>
      <c r="D237" s="7" t="s">
        <v>2007</v>
      </c>
      <c r="E237" s="7" t="s">
        <v>2394</v>
      </c>
      <c r="F237" s="7" t="s">
        <v>1805</v>
      </c>
      <c r="G237" s="7" t="s">
        <v>1744</v>
      </c>
      <c r="H237" s="7" t="s">
        <v>2395</v>
      </c>
      <c r="I237" s="7" t="s">
        <v>2385</v>
      </c>
      <c r="J237" s="7" t="s">
        <v>2396</v>
      </c>
      <c r="K237" s="7" t="s">
        <v>2397</v>
      </c>
      <c r="L237" s="7" t="s">
        <v>105</v>
      </c>
      <c r="M237" s="7" t="s">
        <v>2398</v>
      </c>
    </row>
    <row r="238" spans="1:13" ht="42" x14ac:dyDescent="0.2">
      <c r="A238" s="7" t="s">
        <v>708</v>
      </c>
      <c r="B238" s="7" t="s">
        <v>1504</v>
      </c>
      <c r="C238" s="7" t="s">
        <v>1371</v>
      </c>
      <c r="D238" s="7" t="s">
        <v>2007</v>
      </c>
      <c r="E238" s="7" t="s">
        <v>2394</v>
      </c>
      <c r="F238" s="7" t="s">
        <v>1013</v>
      </c>
      <c r="G238" s="7" t="s">
        <v>1845</v>
      </c>
      <c r="H238" s="7" t="s">
        <v>2399</v>
      </c>
      <c r="I238" s="7" t="s">
        <v>2385</v>
      </c>
      <c r="J238" s="7" t="s">
        <v>2400</v>
      </c>
      <c r="K238" s="7" t="s">
        <v>2397</v>
      </c>
      <c r="L238" s="7" t="s">
        <v>105</v>
      </c>
      <c r="M238" s="7" t="s">
        <v>2401</v>
      </c>
    </row>
    <row r="239" spans="1:13" ht="42" x14ac:dyDescent="0.2">
      <c r="A239" s="7" t="s">
        <v>723</v>
      </c>
      <c r="B239" s="7" t="s">
        <v>1513</v>
      </c>
      <c r="C239" s="7" t="s">
        <v>253</v>
      </c>
      <c r="D239" s="7" t="s">
        <v>1690</v>
      </c>
      <c r="E239" s="7" t="s">
        <v>1691</v>
      </c>
      <c r="F239" s="7" t="s">
        <v>1692</v>
      </c>
      <c r="G239" s="7" t="s">
        <v>894</v>
      </c>
      <c r="H239" s="7" t="s">
        <v>2402</v>
      </c>
      <c r="I239" s="7" t="s">
        <v>2403</v>
      </c>
      <c r="J239" s="7" t="s">
        <v>2404</v>
      </c>
      <c r="K239" s="7" t="s">
        <v>981</v>
      </c>
      <c r="L239" s="7" t="s">
        <v>105</v>
      </c>
      <c r="M239" s="7"/>
    </row>
    <row r="240" spans="1:13" ht="28" x14ac:dyDescent="0.2">
      <c r="A240" s="7" t="s">
        <v>723</v>
      </c>
      <c r="B240" s="7" t="s">
        <v>1522</v>
      </c>
      <c r="C240" s="7" t="s">
        <v>99</v>
      </c>
      <c r="D240" s="7" t="s">
        <v>1690</v>
      </c>
      <c r="E240" s="7" t="s">
        <v>1691</v>
      </c>
      <c r="F240" s="7" t="s">
        <v>1163</v>
      </c>
      <c r="G240" s="7" t="s">
        <v>1524</v>
      </c>
      <c r="H240" s="7" t="s">
        <v>2405</v>
      </c>
      <c r="I240" s="7" t="s">
        <v>2403</v>
      </c>
      <c r="J240" s="7" t="s">
        <v>2404</v>
      </c>
      <c r="K240" s="7" t="s">
        <v>981</v>
      </c>
      <c r="L240" s="7" t="s">
        <v>105</v>
      </c>
      <c r="M240" s="7"/>
    </row>
    <row r="241" spans="1:13" ht="28" x14ac:dyDescent="0.2">
      <c r="A241" s="7" t="s">
        <v>723</v>
      </c>
      <c r="B241" s="7" t="s">
        <v>1513</v>
      </c>
      <c r="C241" s="7" t="s">
        <v>253</v>
      </c>
      <c r="D241" s="7" t="s">
        <v>1735</v>
      </c>
      <c r="E241" s="7" t="s">
        <v>2227</v>
      </c>
      <c r="F241" s="7" t="s">
        <v>991</v>
      </c>
      <c r="G241" s="7" t="s">
        <v>894</v>
      </c>
      <c r="H241" s="7" t="s">
        <v>2406</v>
      </c>
      <c r="I241" s="7" t="s">
        <v>2385</v>
      </c>
      <c r="J241" s="7" t="s">
        <v>2407</v>
      </c>
      <c r="K241" s="7" t="s">
        <v>981</v>
      </c>
      <c r="L241" s="7" t="s">
        <v>105</v>
      </c>
      <c r="M241" s="7"/>
    </row>
    <row r="242" spans="1:13" ht="28" x14ac:dyDescent="0.2">
      <c r="A242" s="7" t="s">
        <v>723</v>
      </c>
      <c r="B242" s="7" t="s">
        <v>1522</v>
      </c>
      <c r="C242" s="7" t="s">
        <v>99</v>
      </c>
      <c r="D242" s="7" t="s">
        <v>1735</v>
      </c>
      <c r="E242" s="7" t="s">
        <v>2227</v>
      </c>
      <c r="F242" s="7" t="s">
        <v>845</v>
      </c>
      <c r="G242" s="7" t="s">
        <v>1524</v>
      </c>
      <c r="H242" s="7" t="s">
        <v>2406</v>
      </c>
      <c r="I242" s="7" t="s">
        <v>2385</v>
      </c>
      <c r="J242" s="7" t="s">
        <v>2407</v>
      </c>
      <c r="K242" s="7" t="s">
        <v>981</v>
      </c>
      <c r="L242" s="7" t="s">
        <v>105</v>
      </c>
      <c r="M242" s="7"/>
    </row>
    <row r="243" spans="1:13" ht="28" x14ac:dyDescent="0.2">
      <c r="A243" s="7" t="s">
        <v>723</v>
      </c>
      <c r="B243" s="7" t="s">
        <v>1513</v>
      </c>
      <c r="C243" s="7" t="s">
        <v>253</v>
      </c>
      <c r="D243" s="7" t="s">
        <v>2408</v>
      </c>
      <c r="E243" s="7" t="s">
        <v>2227</v>
      </c>
      <c r="F243" s="7" t="s">
        <v>1087</v>
      </c>
      <c r="G243" s="7" t="s">
        <v>894</v>
      </c>
      <c r="H243" s="7" t="s">
        <v>2409</v>
      </c>
      <c r="I243" s="7" t="s">
        <v>2385</v>
      </c>
      <c r="J243" s="7" t="s">
        <v>2410</v>
      </c>
      <c r="K243" s="7" t="s">
        <v>981</v>
      </c>
      <c r="L243" s="7" t="s">
        <v>105</v>
      </c>
      <c r="M243" s="7"/>
    </row>
    <row r="244" spans="1:13" ht="28" x14ac:dyDescent="0.2">
      <c r="A244" s="7" t="s">
        <v>723</v>
      </c>
      <c r="B244" s="7" t="s">
        <v>1522</v>
      </c>
      <c r="C244" s="7" t="s">
        <v>99</v>
      </c>
      <c r="D244" s="7" t="s">
        <v>2408</v>
      </c>
      <c r="E244" s="7" t="s">
        <v>2227</v>
      </c>
      <c r="F244" s="7" t="s">
        <v>852</v>
      </c>
      <c r="G244" s="7" t="s">
        <v>1524</v>
      </c>
      <c r="H244" s="7" t="s">
        <v>2409</v>
      </c>
      <c r="I244" s="7" t="s">
        <v>2385</v>
      </c>
      <c r="J244" s="7" t="s">
        <v>2410</v>
      </c>
      <c r="K244" s="7" t="s">
        <v>981</v>
      </c>
      <c r="L244" s="7" t="s">
        <v>105</v>
      </c>
      <c r="M244" s="7"/>
    </row>
    <row r="245" spans="1:13" ht="42" x14ac:dyDescent="0.2">
      <c r="A245" s="7" t="s">
        <v>738</v>
      </c>
      <c r="B245" s="7" t="s">
        <v>1531</v>
      </c>
      <c r="C245" s="7" t="s">
        <v>2411</v>
      </c>
      <c r="D245" s="7" t="s">
        <v>1690</v>
      </c>
      <c r="E245" s="7" t="s">
        <v>1691</v>
      </c>
      <c r="F245" s="7" t="s">
        <v>1832</v>
      </c>
      <c r="G245" s="7" t="s">
        <v>991</v>
      </c>
      <c r="H245" s="7" t="s">
        <v>2412</v>
      </c>
      <c r="I245" s="7" t="s">
        <v>2385</v>
      </c>
      <c r="J245" s="7" t="s">
        <v>2413</v>
      </c>
      <c r="K245" s="7" t="s">
        <v>1808</v>
      </c>
      <c r="L245" s="7" t="s">
        <v>105</v>
      </c>
      <c r="M245" s="7"/>
    </row>
    <row r="246" spans="1:13" ht="42" x14ac:dyDescent="0.2">
      <c r="A246" s="7" t="s">
        <v>738</v>
      </c>
      <c r="B246" s="7" t="s">
        <v>1544</v>
      </c>
      <c r="C246" s="7" t="s">
        <v>2414</v>
      </c>
      <c r="D246" s="7" t="s">
        <v>1690</v>
      </c>
      <c r="E246" s="7" t="s">
        <v>1691</v>
      </c>
      <c r="F246" s="7" t="s">
        <v>136</v>
      </c>
      <c r="G246" s="7" t="s">
        <v>265</v>
      </c>
      <c r="H246" s="7" t="s">
        <v>2412</v>
      </c>
      <c r="I246" s="7" t="s">
        <v>2385</v>
      </c>
      <c r="J246" s="7" t="s">
        <v>2413</v>
      </c>
      <c r="K246" s="7" t="s">
        <v>1808</v>
      </c>
      <c r="L246" s="7" t="s">
        <v>105</v>
      </c>
      <c r="M246" s="7"/>
    </row>
    <row r="247" spans="1:13" ht="56" x14ac:dyDescent="0.2">
      <c r="A247" s="7" t="s">
        <v>738</v>
      </c>
      <c r="B247" s="7" t="s">
        <v>1531</v>
      </c>
      <c r="C247" s="7" t="s">
        <v>2411</v>
      </c>
      <c r="D247" s="7" t="s">
        <v>1660</v>
      </c>
      <c r="E247" s="7" t="s">
        <v>2415</v>
      </c>
      <c r="F247" s="7" t="s">
        <v>2034</v>
      </c>
      <c r="G247" s="7" t="s">
        <v>991</v>
      </c>
      <c r="H247" s="7" t="s">
        <v>2416</v>
      </c>
      <c r="I247" s="7" t="s">
        <v>2417</v>
      </c>
      <c r="J247" s="7" t="s">
        <v>2418</v>
      </c>
      <c r="K247" s="7" t="s">
        <v>1808</v>
      </c>
      <c r="L247" s="7" t="s">
        <v>105</v>
      </c>
      <c r="M247" s="7"/>
    </row>
    <row r="248" spans="1:13" ht="42" x14ac:dyDescent="0.2">
      <c r="A248" s="7" t="s">
        <v>738</v>
      </c>
      <c r="B248" s="7" t="s">
        <v>1544</v>
      </c>
      <c r="C248" s="7" t="s">
        <v>2414</v>
      </c>
      <c r="D248" s="7" t="s">
        <v>1660</v>
      </c>
      <c r="E248" s="7" t="s">
        <v>2415</v>
      </c>
      <c r="F248" s="7" t="s">
        <v>203</v>
      </c>
      <c r="G248" s="7" t="s">
        <v>265</v>
      </c>
      <c r="H248" s="7" t="s">
        <v>2416</v>
      </c>
      <c r="I248" s="7" t="s">
        <v>2419</v>
      </c>
      <c r="J248" s="7" t="s">
        <v>2418</v>
      </c>
      <c r="K248" s="7" t="s">
        <v>1808</v>
      </c>
      <c r="L248" s="7" t="s">
        <v>105</v>
      </c>
      <c r="M248" s="7"/>
    </row>
    <row r="249" spans="1:13" ht="42" x14ac:dyDescent="0.2">
      <c r="A249" s="7" t="s">
        <v>738</v>
      </c>
      <c r="B249" s="7" t="s">
        <v>1531</v>
      </c>
      <c r="C249" s="7" t="s">
        <v>2411</v>
      </c>
      <c r="D249" s="7" t="s">
        <v>1727</v>
      </c>
      <c r="E249" s="7" t="s">
        <v>1970</v>
      </c>
      <c r="F249" s="7" t="s">
        <v>774</v>
      </c>
      <c r="G249" s="7" t="s">
        <v>991</v>
      </c>
      <c r="H249" s="7" t="s">
        <v>2420</v>
      </c>
      <c r="I249" s="7" t="s">
        <v>2419</v>
      </c>
      <c r="J249" s="7" t="s">
        <v>2421</v>
      </c>
      <c r="K249" s="7" t="s">
        <v>1808</v>
      </c>
      <c r="L249" s="7" t="s">
        <v>105</v>
      </c>
      <c r="M249" s="7"/>
    </row>
    <row r="250" spans="1:13" ht="42" x14ac:dyDescent="0.2">
      <c r="A250" s="7" t="s">
        <v>738</v>
      </c>
      <c r="B250" s="7" t="s">
        <v>1544</v>
      </c>
      <c r="C250" s="7" t="s">
        <v>2414</v>
      </c>
      <c r="D250" s="7" t="s">
        <v>1727</v>
      </c>
      <c r="E250" s="7" t="s">
        <v>1970</v>
      </c>
      <c r="F250" s="7" t="s">
        <v>2117</v>
      </c>
      <c r="G250" s="7" t="s">
        <v>265</v>
      </c>
      <c r="H250" s="7" t="s">
        <v>2420</v>
      </c>
      <c r="I250" s="7" t="s">
        <v>2419</v>
      </c>
      <c r="J250" s="7" t="s">
        <v>2421</v>
      </c>
      <c r="K250" s="7" t="s">
        <v>1808</v>
      </c>
      <c r="L250" s="7" t="s">
        <v>105</v>
      </c>
      <c r="M250" s="7"/>
    </row>
    <row r="251" spans="1:13" ht="42" x14ac:dyDescent="0.2">
      <c r="A251" s="7" t="s">
        <v>738</v>
      </c>
      <c r="B251" s="7" t="s">
        <v>1531</v>
      </c>
      <c r="C251" s="7" t="s">
        <v>2411</v>
      </c>
      <c r="D251" s="7" t="s">
        <v>1702</v>
      </c>
      <c r="E251" s="7" t="s">
        <v>2422</v>
      </c>
      <c r="F251" s="7" t="s">
        <v>1770</v>
      </c>
      <c r="G251" s="7" t="s">
        <v>991</v>
      </c>
      <c r="H251" s="7" t="s">
        <v>2423</v>
      </c>
      <c r="I251" s="7" t="s">
        <v>2385</v>
      </c>
      <c r="J251" s="7" t="s">
        <v>2424</v>
      </c>
      <c r="K251" s="7" t="s">
        <v>1808</v>
      </c>
      <c r="L251" s="7" t="s">
        <v>105</v>
      </c>
      <c r="M251" s="7"/>
    </row>
    <row r="252" spans="1:13" ht="42" x14ac:dyDescent="0.2">
      <c r="A252" s="7" t="s">
        <v>738</v>
      </c>
      <c r="B252" s="7" t="s">
        <v>1544</v>
      </c>
      <c r="C252" s="7" t="s">
        <v>2414</v>
      </c>
      <c r="D252" s="7" t="s">
        <v>1702</v>
      </c>
      <c r="E252" s="7" t="s">
        <v>2422</v>
      </c>
      <c r="F252" s="7" t="s">
        <v>203</v>
      </c>
      <c r="G252" s="7" t="s">
        <v>265</v>
      </c>
      <c r="H252" s="7" t="s">
        <v>2423</v>
      </c>
      <c r="I252" s="7" t="s">
        <v>2385</v>
      </c>
      <c r="J252" s="7" t="s">
        <v>2424</v>
      </c>
      <c r="K252" s="7" t="s">
        <v>1808</v>
      </c>
      <c r="L252" s="7" t="s">
        <v>105</v>
      </c>
      <c r="M252" s="7"/>
    </row>
    <row r="253" spans="1:13" ht="42" x14ac:dyDescent="0.2">
      <c r="A253" s="7" t="s">
        <v>738</v>
      </c>
      <c r="B253" s="7" t="s">
        <v>1531</v>
      </c>
      <c r="C253" s="7" t="s">
        <v>2411</v>
      </c>
      <c r="D253" s="7" t="s">
        <v>1735</v>
      </c>
      <c r="E253" s="7" t="s">
        <v>2425</v>
      </c>
      <c r="F253" s="7" t="s">
        <v>1805</v>
      </c>
      <c r="G253" s="7" t="s">
        <v>991</v>
      </c>
      <c r="H253" s="7" t="s">
        <v>2426</v>
      </c>
      <c r="I253" s="7" t="s">
        <v>2385</v>
      </c>
      <c r="J253" s="7" t="s">
        <v>2427</v>
      </c>
      <c r="K253" s="7" t="s">
        <v>1808</v>
      </c>
      <c r="L253" s="7" t="s">
        <v>105</v>
      </c>
      <c r="M253" s="7" t="s">
        <v>2428</v>
      </c>
    </row>
    <row r="254" spans="1:13" ht="42" x14ac:dyDescent="0.2">
      <c r="A254" s="7" t="s">
        <v>738</v>
      </c>
      <c r="B254" s="7" t="s">
        <v>1544</v>
      </c>
      <c r="C254" s="7" t="s">
        <v>2414</v>
      </c>
      <c r="D254" s="7" t="s">
        <v>1735</v>
      </c>
      <c r="E254" s="7" t="s">
        <v>2425</v>
      </c>
      <c r="F254" s="7" t="s">
        <v>1200</v>
      </c>
      <c r="G254" s="7" t="s">
        <v>265</v>
      </c>
      <c r="H254" s="7" t="s">
        <v>2426</v>
      </c>
      <c r="I254" s="7" t="s">
        <v>2385</v>
      </c>
      <c r="J254" s="7" t="s">
        <v>2427</v>
      </c>
      <c r="K254" s="7" t="s">
        <v>1808</v>
      </c>
      <c r="L254" s="7" t="s">
        <v>105</v>
      </c>
      <c r="M254" s="7" t="s">
        <v>2428</v>
      </c>
    </row>
    <row r="255" spans="1:13" ht="70" x14ac:dyDescent="0.2">
      <c r="A255" s="7" t="s">
        <v>752</v>
      </c>
      <c r="B255" s="7" t="s">
        <v>1558</v>
      </c>
      <c r="C255" s="7" t="s">
        <v>1560</v>
      </c>
      <c r="D255" s="7" t="s">
        <v>1660</v>
      </c>
      <c r="E255" s="7" t="s">
        <v>2415</v>
      </c>
      <c r="F255" s="7" t="s">
        <v>187</v>
      </c>
      <c r="G255" s="7" t="s">
        <v>1561</v>
      </c>
      <c r="H255" s="7" t="s">
        <v>2429</v>
      </c>
      <c r="I255" s="7" t="s">
        <v>2430</v>
      </c>
      <c r="J255" s="7" t="s">
        <v>2431</v>
      </c>
      <c r="K255" s="7" t="s">
        <v>981</v>
      </c>
      <c r="L255" s="7" t="s">
        <v>105</v>
      </c>
      <c r="M255" s="7" t="s">
        <v>2432</v>
      </c>
    </row>
    <row r="256" spans="1:13" ht="28" x14ac:dyDescent="0.2">
      <c r="A256" s="7" t="s">
        <v>752</v>
      </c>
      <c r="B256" s="7" t="s">
        <v>1569</v>
      </c>
      <c r="C256" s="7" t="s">
        <v>99</v>
      </c>
      <c r="D256" s="7" t="s">
        <v>1660</v>
      </c>
      <c r="E256" s="7" t="s">
        <v>2415</v>
      </c>
      <c r="F256" s="7" t="s">
        <v>187</v>
      </c>
      <c r="G256" s="7" t="s">
        <v>1107</v>
      </c>
      <c r="H256" s="7" t="s">
        <v>2433</v>
      </c>
      <c r="I256" s="7" t="s">
        <v>1672</v>
      </c>
      <c r="J256" s="7" t="s">
        <v>2434</v>
      </c>
      <c r="K256" s="7" t="s">
        <v>1998</v>
      </c>
      <c r="L256" s="7" t="s">
        <v>105</v>
      </c>
      <c r="M256" s="7" t="s">
        <v>2435</v>
      </c>
    </row>
    <row r="257" spans="1:13" ht="42" x14ac:dyDescent="0.2">
      <c r="A257" s="7" t="s">
        <v>752</v>
      </c>
      <c r="B257" s="7" t="s">
        <v>1558</v>
      </c>
      <c r="C257" s="7" t="s">
        <v>1560</v>
      </c>
      <c r="D257" s="7" t="s">
        <v>1702</v>
      </c>
      <c r="E257" s="7" t="s">
        <v>2422</v>
      </c>
      <c r="F257" s="7" t="s">
        <v>187</v>
      </c>
      <c r="G257" s="7" t="s">
        <v>1561</v>
      </c>
      <c r="H257" s="7" t="s">
        <v>2436</v>
      </c>
      <c r="I257" s="7" t="s">
        <v>2437</v>
      </c>
      <c r="J257" s="7" t="s">
        <v>2438</v>
      </c>
      <c r="K257" s="7" t="s">
        <v>981</v>
      </c>
      <c r="L257" s="7" t="s">
        <v>105</v>
      </c>
      <c r="M257" s="7" t="s">
        <v>1681</v>
      </c>
    </row>
    <row r="258" spans="1:13" ht="56" x14ac:dyDescent="0.2">
      <c r="A258" s="7" t="s">
        <v>752</v>
      </c>
      <c r="B258" s="7" t="s">
        <v>1558</v>
      </c>
      <c r="C258" s="7" t="s">
        <v>1560</v>
      </c>
      <c r="D258" s="7" t="s">
        <v>1735</v>
      </c>
      <c r="E258" s="7" t="s">
        <v>2422</v>
      </c>
      <c r="F258" s="7" t="s">
        <v>187</v>
      </c>
      <c r="G258" s="7" t="s">
        <v>2439</v>
      </c>
      <c r="H258" s="7" t="s">
        <v>2440</v>
      </c>
      <c r="I258" s="7" t="s">
        <v>2437</v>
      </c>
      <c r="J258" s="7" t="s">
        <v>2441</v>
      </c>
      <c r="K258" s="7" t="s">
        <v>981</v>
      </c>
      <c r="L258" s="7" t="s">
        <v>105</v>
      </c>
      <c r="M258" s="7" t="s">
        <v>1681</v>
      </c>
    </row>
    <row r="259" spans="1:13" ht="42" x14ac:dyDescent="0.2">
      <c r="A259" s="7" t="s">
        <v>766</v>
      </c>
      <c r="B259" s="7" t="s">
        <v>1576</v>
      </c>
      <c r="C259" s="7" t="s">
        <v>253</v>
      </c>
      <c r="D259" s="7" t="s">
        <v>1714</v>
      </c>
      <c r="E259" s="7" t="s">
        <v>2442</v>
      </c>
      <c r="F259" s="7" t="s">
        <v>774</v>
      </c>
      <c r="G259" s="7" t="s">
        <v>774</v>
      </c>
      <c r="H259" s="7" t="s">
        <v>2443</v>
      </c>
      <c r="I259" s="7" t="s">
        <v>1232</v>
      </c>
      <c r="J259" s="7" t="s">
        <v>2444</v>
      </c>
      <c r="K259" s="7" t="s">
        <v>2445</v>
      </c>
      <c r="L259" s="7" t="s">
        <v>105</v>
      </c>
      <c r="M259" s="7"/>
    </row>
    <row r="260" spans="1:13" ht="42" x14ac:dyDescent="0.2">
      <c r="A260" s="7" t="s">
        <v>766</v>
      </c>
      <c r="B260" s="7" t="s">
        <v>1576</v>
      </c>
      <c r="C260" s="7" t="s">
        <v>253</v>
      </c>
      <c r="D260" s="7" t="s">
        <v>1690</v>
      </c>
      <c r="E260" s="7" t="s">
        <v>1691</v>
      </c>
      <c r="F260" s="7" t="s">
        <v>850</v>
      </c>
      <c r="G260" s="7" t="s">
        <v>774</v>
      </c>
      <c r="H260" s="7" t="s">
        <v>2446</v>
      </c>
      <c r="I260" s="7" t="s">
        <v>1232</v>
      </c>
      <c r="J260" s="7" t="s">
        <v>2447</v>
      </c>
      <c r="K260" s="7" t="s">
        <v>2448</v>
      </c>
      <c r="L260" s="7" t="s">
        <v>105</v>
      </c>
      <c r="M260" s="7" t="s">
        <v>2449</v>
      </c>
    </row>
    <row r="261" spans="1:13" ht="42" x14ac:dyDescent="0.2">
      <c r="A261" s="7" t="s">
        <v>766</v>
      </c>
      <c r="B261" s="7" t="s">
        <v>1576</v>
      </c>
      <c r="C261" s="7" t="s">
        <v>253</v>
      </c>
      <c r="D261" s="7" t="s">
        <v>1735</v>
      </c>
      <c r="E261" s="7" t="s">
        <v>2450</v>
      </c>
      <c r="F261" s="7" t="s">
        <v>850</v>
      </c>
      <c r="G261" s="7" t="s">
        <v>774</v>
      </c>
      <c r="H261" s="7" t="s">
        <v>2451</v>
      </c>
      <c r="I261" s="7" t="s">
        <v>1232</v>
      </c>
      <c r="J261" s="7" t="s">
        <v>2452</v>
      </c>
      <c r="K261" s="7" t="s">
        <v>2453</v>
      </c>
      <c r="L261" s="7" t="s">
        <v>105</v>
      </c>
      <c r="M261" s="7" t="s">
        <v>2454</v>
      </c>
    </row>
    <row r="262" spans="1:13" ht="56" x14ac:dyDescent="0.2">
      <c r="A262" s="7" t="s">
        <v>780</v>
      </c>
      <c r="B262" s="7" t="s">
        <v>1589</v>
      </c>
      <c r="C262" s="7" t="s">
        <v>99</v>
      </c>
      <c r="D262" s="7" t="s">
        <v>2007</v>
      </c>
      <c r="E262" s="7" t="s">
        <v>2455</v>
      </c>
      <c r="F262" s="7" t="s">
        <v>1883</v>
      </c>
      <c r="G262" s="7" t="s">
        <v>1051</v>
      </c>
      <c r="H262" s="7" t="s">
        <v>2456</v>
      </c>
      <c r="I262" s="7" t="s">
        <v>2457</v>
      </c>
      <c r="J262" s="7" t="s">
        <v>2458</v>
      </c>
      <c r="K262" s="7" t="s">
        <v>924</v>
      </c>
      <c r="L262" s="7" t="s">
        <v>105</v>
      </c>
      <c r="M262" s="7" t="s">
        <v>2459</v>
      </c>
    </row>
    <row r="263" spans="1:13" ht="42" x14ac:dyDescent="0.2">
      <c r="A263" s="7" t="s">
        <v>780</v>
      </c>
      <c r="B263" s="7" t="s">
        <v>253</v>
      </c>
      <c r="C263" s="7" t="s">
        <v>253</v>
      </c>
      <c r="D263" s="7" t="s">
        <v>2007</v>
      </c>
      <c r="E263" s="7" t="s">
        <v>2455</v>
      </c>
      <c r="F263" s="7" t="s">
        <v>1708</v>
      </c>
      <c r="G263" s="7" t="s">
        <v>1600</v>
      </c>
      <c r="H263" s="7" t="s">
        <v>2460</v>
      </c>
      <c r="I263" s="7" t="s">
        <v>2461</v>
      </c>
      <c r="J263" s="7" t="s">
        <v>2458</v>
      </c>
      <c r="K263" s="7" t="s">
        <v>924</v>
      </c>
      <c r="L263" s="7" t="s">
        <v>105</v>
      </c>
      <c r="M263" s="7" t="s">
        <v>2459</v>
      </c>
    </row>
    <row r="264" spans="1:13" ht="28" x14ac:dyDescent="0.2">
      <c r="A264" s="7" t="s">
        <v>780</v>
      </c>
      <c r="B264" s="7" t="s">
        <v>1589</v>
      </c>
      <c r="C264" s="7" t="s">
        <v>99</v>
      </c>
      <c r="D264" s="7" t="s">
        <v>1735</v>
      </c>
      <c r="E264" s="7" t="s">
        <v>65</v>
      </c>
      <c r="F264" s="7" t="s">
        <v>1751</v>
      </c>
      <c r="G264" s="7" t="s">
        <v>1051</v>
      </c>
      <c r="H264" s="7" t="s">
        <v>2462</v>
      </c>
      <c r="I264" s="7" t="s">
        <v>2385</v>
      </c>
      <c r="J264" s="7" t="s">
        <v>2463</v>
      </c>
      <c r="K264" s="7" t="s">
        <v>924</v>
      </c>
      <c r="L264" s="7" t="s">
        <v>105</v>
      </c>
      <c r="M264" s="7"/>
    </row>
    <row r="265" spans="1:13" ht="28" x14ac:dyDescent="0.2">
      <c r="A265" s="7" t="s">
        <v>780</v>
      </c>
      <c r="B265" s="7" t="s">
        <v>253</v>
      </c>
      <c r="C265" s="7" t="s">
        <v>253</v>
      </c>
      <c r="D265" s="7" t="s">
        <v>1735</v>
      </c>
      <c r="E265" s="7" t="s">
        <v>65</v>
      </c>
      <c r="F265" s="7" t="s">
        <v>1268</v>
      </c>
      <c r="G265" s="7" t="s">
        <v>1600</v>
      </c>
      <c r="H265" s="7" t="s">
        <v>2464</v>
      </c>
      <c r="I265" s="7" t="s">
        <v>2385</v>
      </c>
      <c r="J265" s="7" t="s">
        <v>2463</v>
      </c>
      <c r="K265" s="7" t="s">
        <v>924</v>
      </c>
      <c r="L265" s="7" t="s">
        <v>105</v>
      </c>
      <c r="M265" s="7"/>
    </row>
    <row r="266" spans="1:13" ht="28" x14ac:dyDescent="0.2">
      <c r="A266" s="7" t="s">
        <v>793</v>
      </c>
      <c r="B266" s="7" t="s">
        <v>1611</v>
      </c>
      <c r="C266" s="7" t="s">
        <v>99</v>
      </c>
      <c r="D266" s="7" t="s">
        <v>1690</v>
      </c>
      <c r="E266" s="7" t="s">
        <v>1691</v>
      </c>
      <c r="F266" s="7" t="s">
        <v>1051</v>
      </c>
      <c r="G266" s="7" t="s">
        <v>883</v>
      </c>
      <c r="H266" s="7" t="s">
        <v>2465</v>
      </c>
      <c r="I266" s="7" t="s">
        <v>2466</v>
      </c>
      <c r="J266" s="7" t="s">
        <v>2467</v>
      </c>
      <c r="K266" s="7" t="s">
        <v>981</v>
      </c>
      <c r="L266" s="7" t="s">
        <v>105</v>
      </c>
      <c r="M266" s="7"/>
    </row>
    <row r="267" spans="1:13" ht="28" x14ac:dyDescent="0.2">
      <c r="A267" s="7" t="s">
        <v>793</v>
      </c>
      <c r="B267" s="7" t="s">
        <v>1618</v>
      </c>
      <c r="C267" s="7" t="s">
        <v>253</v>
      </c>
      <c r="D267" s="7" t="s">
        <v>1690</v>
      </c>
      <c r="E267" s="7" t="s">
        <v>1691</v>
      </c>
      <c r="F267" s="7" t="s">
        <v>346</v>
      </c>
      <c r="G267" s="7" t="s">
        <v>1018</v>
      </c>
      <c r="H267" s="7" t="s">
        <v>2468</v>
      </c>
      <c r="I267" s="7" t="s">
        <v>2385</v>
      </c>
      <c r="J267" s="7" t="s">
        <v>2467</v>
      </c>
      <c r="K267" s="7" t="s">
        <v>981</v>
      </c>
      <c r="L267" s="7" t="s">
        <v>105</v>
      </c>
      <c r="M267" s="7"/>
    </row>
    <row r="268" spans="1:13" ht="42" x14ac:dyDescent="0.2">
      <c r="A268" s="7" t="s">
        <v>793</v>
      </c>
      <c r="B268" s="7" t="s">
        <v>1624</v>
      </c>
      <c r="C268" s="7" t="s">
        <v>1371</v>
      </c>
      <c r="D268" s="7" t="s">
        <v>1690</v>
      </c>
      <c r="E268" s="7" t="s">
        <v>1691</v>
      </c>
      <c r="F268" s="7" t="s">
        <v>954</v>
      </c>
      <c r="G268" s="7" t="s">
        <v>1372</v>
      </c>
      <c r="H268" s="7" t="s">
        <v>2469</v>
      </c>
      <c r="I268" s="7" t="s">
        <v>2385</v>
      </c>
      <c r="J268" s="7" t="s">
        <v>2467</v>
      </c>
      <c r="K268" s="7" t="s">
        <v>981</v>
      </c>
      <c r="L268" s="7" t="s">
        <v>105</v>
      </c>
      <c r="M268" s="7"/>
    </row>
    <row r="269" spans="1:13" ht="28" x14ac:dyDescent="0.2">
      <c r="A269" s="7" t="s">
        <v>793</v>
      </c>
      <c r="B269" s="7" t="s">
        <v>1611</v>
      </c>
      <c r="C269" s="7" t="s">
        <v>99</v>
      </c>
      <c r="D269" s="7" t="s">
        <v>1735</v>
      </c>
      <c r="E269" s="7" t="s">
        <v>2422</v>
      </c>
      <c r="F269" s="7" t="s">
        <v>1331</v>
      </c>
      <c r="G269" s="7" t="s">
        <v>883</v>
      </c>
      <c r="H269" s="7" t="s">
        <v>2470</v>
      </c>
      <c r="I269" s="7" t="s">
        <v>2385</v>
      </c>
      <c r="J269" s="7" t="s">
        <v>2471</v>
      </c>
      <c r="K269" s="7" t="s">
        <v>981</v>
      </c>
      <c r="L269" s="7" t="s">
        <v>105</v>
      </c>
      <c r="M269" s="7"/>
    </row>
    <row r="270" spans="1:13" ht="28" x14ac:dyDescent="0.2">
      <c r="A270" s="7" t="s">
        <v>793</v>
      </c>
      <c r="B270" s="7" t="s">
        <v>1618</v>
      </c>
      <c r="C270" s="7" t="s">
        <v>253</v>
      </c>
      <c r="D270" s="7" t="s">
        <v>1735</v>
      </c>
      <c r="E270" s="7" t="s">
        <v>2422</v>
      </c>
      <c r="F270" s="7" t="s">
        <v>1046</v>
      </c>
      <c r="G270" s="7" t="s">
        <v>1018</v>
      </c>
      <c r="H270" s="7" t="s">
        <v>2472</v>
      </c>
      <c r="I270" s="7" t="s">
        <v>2385</v>
      </c>
      <c r="J270" s="7" t="s">
        <v>2471</v>
      </c>
      <c r="K270" s="7" t="s">
        <v>981</v>
      </c>
      <c r="L270" s="7" t="s">
        <v>105</v>
      </c>
      <c r="M270" s="7"/>
    </row>
    <row r="271" spans="1:13" ht="42" x14ac:dyDescent="0.2">
      <c r="A271" s="7" t="s">
        <v>793</v>
      </c>
      <c r="B271" s="7" t="s">
        <v>1624</v>
      </c>
      <c r="C271" s="7" t="s">
        <v>1371</v>
      </c>
      <c r="D271" s="7" t="s">
        <v>1735</v>
      </c>
      <c r="E271" s="7" t="s">
        <v>2422</v>
      </c>
      <c r="F271" s="7" t="s">
        <v>852</v>
      </c>
      <c r="G271" s="7" t="s">
        <v>1372</v>
      </c>
      <c r="H271" s="7" t="s">
        <v>2473</v>
      </c>
      <c r="I271" s="7" t="s">
        <v>2385</v>
      </c>
      <c r="J271" s="7" t="s">
        <v>2471</v>
      </c>
      <c r="K271" s="7" t="s">
        <v>981</v>
      </c>
      <c r="L271" s="7" t="s">
        <v>105</v>
      </c>
      <c r="M271" s="7"/>
    </row>
    <row r="272" spans="1:13" ht="28" x14ac:dyDescent="0.2">
      <c r="A272" s="7" t="s">
        <v>793</v>
      </c>
      <c r="B272" s="7" t="s">
        <v>1611</v>
      </c>
      <c r="C272" s="7" t="s">
        <v>99</v>
      </c>
      <c r="D272" s="7" t="s">
        <v>2007</v>
      </c>
      <c r="E272" s="7" t="s">
        <v>2474</v>
      </c>
      <c r="F272" s="7" t="s">
        <v>1686</v>
      </c>
      <c r="G272" s="7" t="s">
        <v>1331</v>
      </c>
      <c r="H272" s="7" t="s">
        <v>2475</v>
      </c>
      <c r="I272" s="7" t="s">
        <v>2476</v>
      </c>
      <c r="J272" s="7" t="s">
        <v>2477</v>
      </c>
      <c r="K272" s="7" t="s">
        <v>2091</v>
      </c>
      <c r="L272" s="7" t="s">
        <v>105</v>
      </c>
      <c r="M272" s="7" t="s">
        <v>2478</v>
      </c>
    </row>
    <row r="273" spans="1:13" ht="28" x14ac:dyDescent="0.2">
      <c r="A273" s="7" t="s">
        <v>793</v>
      </c>
      <c r="B273" s="7" t="s">
        <v>1618</v>
      </c>
      <c r="C273" s="7" t="s">
        <v>253</v>
      </c>
      <c r="D273" s="7" t="s">
        <v>2007</v>
      </c>
      <c r="E273" s="7" t="s">
        <v>2474</v>
      </c>
      <c r="F273" s="7" t="s">
        <v>346</v>
      </c>
      <c r="G273" s="7" t="s">
        <v>1046</v>
      </c>
      <c r="H273" s="7" t="s">
        <v>2479</v>
      </c>
      <c r="I273" s="7" t="s">
        <v>2480</v>
      </c>
      <c r="J273" s="7" t="s">
        <v>2477</v>
      </c>
      <c r="K273" s="7" t="s">
        <v>2091</v>
      </c>
      <c r="L273" s="7" t="s">
        <v>105</v>
      </c>
      <c r="M273" s="7" t="s">
        <v>2481</v>
      </c>
    </row>
    <row r="274" spans="1:13" ht="42" x14ac:dyDescent="0.2">
      <c r="A274" s="7" t="s">
        <v>793</v>
      </c>
      <c r="B274" s="7" t="s">
        <v>1624</v>
      </c>
      <c r="C274" s="7" t="s">
        <v>1371</v>
      </c>
      <c r="D274" s="7" t="s">
        <v>2007</v>
      </c>
      <c r="E274" s="7" t="s">
        <v>2474</v>
      </c>
      <c r="F274" s="7" t="s">
        <v>954</v>
      </c>
      <c r="G274" s="7" t="s">
        <v>852</v>
      </c>
      <c r="H274" s="7" t="s">
        <v>2482</v>
      </c>
      <c r="I274" s="7" t="s">
        <v>2480</v>
      </c>
      <c r="J274" s="7" t="s">
        <v>2477</v>
      </c>
      <c r="K274" s="7" t="s">
        <v>2091</v>
      </c>
      <c r="L274" s="7" t="s">
        <v>105</v>
      </c>
      <c r="M274" s="7" t="s">
        <v>2483</v>
      </c>
    </row>
    <row r="275" spans="1:13" ht="42" x14ac:dyDescent="0.2">
      <c r="A275" s="7" t="s">
        <v>802</v>
      </c>
      <c r="B275" s="7" t="s">
        <v>1627</v>
      </c>
      <c r="C275" s="7" t="s">
        <v>253</v>
      </c>
      <c r="D275" s="7" t="s">
        <v>1690</v>
      </c>
      <c r="E275" s="7" t="s">
        <v>2352</v>
      </c>
      <c r="F275" s="7" t="s">
        <v>1805</v>
      </c>
      <c r="G275" s="7" t="s">
        <v>1008</v>
      </c>
      <c r="H275" s="7" t="s">
        <v>2484</v>
      </c>
      <c r="I275" s="7" t="s">
        <v>2385</v>
      </c>
      <c r="J275" s="7" t="s">
        <v>2485</v>
      </c>
      <c r="K275" s="7" t="s">
        <v>2486</v>
      </c>
      <c r="L275" s="7" t="s">
        <v>105</v>
      </c>
      <c r="M275" s="7"/>
    </row>
    <row r="276" spans="1:13" ht="56" x14ac:dyDescent="0.2">
      <c r="A276" s="7" t="s">
        <v>802</v>
      </c>
      <c r="B276" s="7" t="s">
        <v>1640</v>
      </c>
      <c r="C276" s="7" t="s">
        <v>253</v>
      </c>
      <c r="D276" s="7" t="s">
        <v>1690</v>
      </c>
      <c r="E276" s="7" t="s">
        <v>2352</v>
      </c>
      <c r="F276" s="7" t="s">
        <v>1805</v>
      </c>
      <c r="G276" s="7" t="s">
        <v>542</v>
      </c>
      <c r="H276" s="7" t="s">
        <v>2487</v>
      </c>
      <c r="I276" s="7" t="s">
        <v>2385</v>
      </c>
      <c r="J276" s="7" t="s">
        <v>2485</v>
      </c>
      <c r="K276" s="7" t="s">
        <v>2486</v>
      </c>
      <c r="L276" s="7" t="s">
        <v>105</v>
      </c>
      <c r="M276" s="7"/>
    </row>
    <row r="277" spans="1:13" ht="42" x14ac:dyDescent="0.2">
      <c r="A277" s="7" t="s">
        <v>802</v>
      </c>
      <c r="B277" s="7" t="s">
        <v>1627</v>
      </c>
      <c r="C277" s="7" t="s">
        <v>253</v>
      </c>
      <c r="D277" s="7" t="s">
        <v>1714</v>
      </c>
      <c r="E277" s="7" t="s">
        <v>1995</v>
      </c>
      <c r="F277" s="7" t="s">
        <v>999</v>
      </c>
      <c r="G277" s="7" t="s">
        <v>1008</v>
      </c>
      <c r="H277" s="7" t="s">
        <v>2488</v>
      </c>
      <c r="I277" s="7" t="s">
        <v>2385</v>
      </c>
      <c r="J277" s="7" t="s">
        <v>2489</v>
      </c>
      <c r="K277" s="7" t="s">
        <v>2486</v>
      </c>
      <c r="L277" s="7" t="s">
        <v>105</v>
      </c>
      <c r="M277" s="7" t="s">
        <v>2490</v>
      </c>
    </row>
    <row r="278" spans="1:13" ht="56" x14ac:dyDescent="0.2">
      <c r="A278" s="7" t="s">
        <v>802</v>
      </c>
      <c r="B278" s="7" t="s">
        <v>1640</v>
      </c>
      <c r="C278" s="7" t="s">
        <v>253</v>
      </c>
      <c r="D278" s="7" t="s">
        <v>1714</v>
      </c>
      <c r="E278" s="7" t="s">
        <v>1995</v>
      </c>
      <c r="F278" s="7" t="s">
        <v>844</v>
      </c>
      <c r="G278" s="7" t="s">
        <v>542</v>
      </c>
      <c r="H278" s="7" t="s">
        <v>2491</v>
      </c>
      <c r="I278" s="7" t="s">
        <v>2385</v>
      </c>
      <c r="J278" s="7" t="s">
        <v>2489</v>
      </c>
      <c r="K278" s="7" t="s">
        <v>2486</v>
      </c>
      <c r="L278" s="7" t="s">
        <v>105</v>
      </c>
      <c r="M278" s="7" t="s">
        <v>2492</v>
      </c>
    </row>
    <row r="279" spans="1:13" ht="42" x14ac:dyDescent="0.2">
      <c r="A279" s="7" t="s">
        <v>802</v>
      </c>
      <c r="B279" s="7" t="s">
        <v>1627</v>
      </c>
      <c r="C279" s="7" t="s">
        <v>253</v>
      </c>
      <c r="D279" s="7" t="s">
        <v>2007</v>
      </c>
      <c r="E279" s="7" t="s">
        <v>2474</v>
      </c>
      <c r="F279" s="7" t="s">
        <v>1805</v>
      </c>
      <c r="G279" s="7" t="s">
        <v>1200</v>
      </c>
      <c r="H279" s="7" t="s">
        <v>2493</v>
      </c>
      <c r="I279" s="7" t="s">
        <v>2480</v>
      </c>
      <c r="J279" s="7" t="s">
        <v>2494</v>
      </c>
      <c r="K279" s="7" t="s">
        <v>2486</v>
      </c>
      <c r="L279" s="7" t="s">
        <v>105</v>
      </c>
      <c r="M279" s="7" t="s">
        <v>2478</v>
      </c>
    </row>
    <row r="280" spans="1:13" ht="56" x14ac:dyDescent="0.2">
      <c r="A280" s="7" t="s">
        <v>802</v>
      </c>
      <c r="B280" s="7" t="s">
        <v>1640</v>
      </c>
      <c r="C280" s="7" t="s">
        <v>253</v>
      </c>
      <c r="D280" s="7" t="s">
        <v>2007</v>
      </c>
      <c r="E280" s="7" t="s">
        <v>2474</v>
      </c>
      <c r="F280" s="7" t="s">
        <v>1805</v>
      </c>
      <c r="G280" s="7" t="s">
        <v>1805</v>
      </c>
      <c r="H280" s="7" t="s">
        <v>2495</v>
      </c>
      <c r="I280" s="7" t="s">
        <v>2480</v>
      </c>
      <c r="J280" s="7" t="s">
        <v>2494</v>
      </c>
      <c r="K280" s="7" t="s">
        <v>2486</v>
      </c>
      <c r="L280" s="7" t="s">
        <v>105</v>
      </c>
      <c r="M280" s="7" t="s">
        <v>2483</v>
      </c>
    </row>
    <row r="281" spans="1:13" ht="42" x14ac:dyDescent="0.2">
      <c r="A281" s="7" t="s">
        <v>802</v>
      </c>
      <c r="B281" s="7" t="s">
        <v>1627</v>
      </c>
      <c r="C281" s="7" t="s">
        <v>253</v>
      </c>
      <c r="D281" s="7" t="s">
        <v>1714</v>
      </c>
      <c r="E281" s="7" t="s">
        <v>2496</v>
      </c>
      <c r="F281" s="7" t="s">
        <v>542</v>
      </c>
      <c r="G281" s="7" t="s">
        <v>1200</v>
      </c>
      <c r="H281" s="7" t="s">
        <v>2497</v>
      </c>
      <c r="I281" s="7" t="s">
        <v>2480</v>
      </c>
      <c r="J281" s="7" t="s">
        <v>2498</v>
      </c>
      <c r="K281" s="7" t="s">
        <v>2486</v>
      </c>
      <c r="L281" s="7" t="s">
        <v>105</v>
      </c>
      <c r="M281" s="7" t="s">
        <v>2499</v>
      </c>
    </row>
    <row r="282" spans="1:13" ht="56" x14ac:dyDescent="0.2">
      <c r="A282" s="7" t="s">
        <v>802</v>
      </c>
      <c r="B282" s="7" t="s">
        <v>1640</v>
      </c>
      <c r="C282" s="7" t="s">
        <v>253</v>
      </c>
      <c r="D282" s="7" t="s">
        <v>1714</v>
      </c>
      <c r="E282" s="7" t="s">
        <v>2496</v>
      </c>
      <c r="F282" s="7" t="s">
        <v>850</v>
      </c>
      <c r="G282" s="7" t="s">
        <v>1805</v>
      </c>
      <c r="H282" s="7" t="s">
        <v>2500</v>
      </c>
      <c r="I282" s="7" t="s">
        <v>2480</v>
      </c>
      <c r="J282" s="7" t="s">
        <v>2498</v>
      </c>
      <c r="K282" s="7" t="s">
        <v>2486</v>
      </c>
      <c r="L282" s="7" t="s">
        <v>105</v>
      </c>
      <c r="M282" s="7" t="s">
        <v>2499</v>
      </c>
    </row>
  </sheetData>
  <dataValidations count="1">
    <dataValidation type="list" allowBlank="1" sqref="L4:L400" xr:uid="{00000000-0002-0000-0300-000001000000}">
      <formula1>"Reviewer A,Reviewer B,Consensus,REL (adjudicator),Claude (machine draft)"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Lists!$M$2:$M$20</xm:f>
          </x14:formula1>
          <x14:formula2>
            <xm:f>0</xm:f>
          </x14:formula2>
          <xm:sqref>D4:D400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7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3" width="18" customWidth="1"/>
    <col min="4" max="5" width="10" customWidth="1"/>
    <col min="6" max="6" width="16" customWidth="1"/>
    <col min="7" max="7" width="10" customWidth="1"/>
    <col min="8" max="8" width="14" customWidth="1"/>
    <col min="9" max="9" width="26" customWidth="1"/>
    <col min="10" max="10" width="16" customWidth="1"/>
    <col min="11" max="11" width="30" customWidth="1"/>
    <col min="12" max="12" width="40" customWidth="1"/>
    <col min="13" max="14" width="14" customWidth="1"/>
    <col min="15" max="15" width="24" customWidth="1"/>
  </cols>
  <sheetData>
    <row r="1" spans="1:15" ht="17" x14ac:dyDescent="0.2">
      <c r="A1" s="1" t="s">
        <v>2501</v>
      </c>
    </row>
    <row r="3" spans="1:15" ht="42" customHeight="1" x14ac:dyDescent="0.2">
      <c r="A3" s="5" t="s">
        <v>25</v>
      </c>
      <c r="B3" s="5" t="s">
        <v>2502</v>
      </c>
      <c r="C3" s="5" t="s">
        <v>2503</v>
      </c>
      <c r="D3" s="5" t="s">
        <v>2504</v>
      </c>
      <c r="E3" s="5" t="s">
        <v>2505</v>
      </c>
      <c r="F3" s="5" t="s">
        <v>2506</v>
      </c>
      <c r="G3" s="5" t="s">
        <v>2507</v>
      </c>
      <c r="H3" s="5" t="s">
        <v>2508</v>
      </c>
      <c r="I3" s="5" t="s">
        <v>2509</v>
      </c>
      <c r="J3" s="5" t="s">
        <v>2510</v>
      </c>
      <c r="K3" s="5" t="s">
        <v>2511</v>
      </c>
      <c r="L3" s="5" t="s">
        <v>1658</v>
      </c>
      <c r="M3" s="5" t="s">
        <v>838</v>
      </c>
      <c r="N3" s="5" t="s">
        <v>52</v>
      </c>
      <c r="O3" s="5" t="s">
        <v>1659</v>
      </c>
    </row>
    <row r="4" spans="1:15" ht="28" x14ac:dyDescent="0.2">
      <c r="A4" s="6" t="s">
        <v>55</v>
      </c>
      <c r="B4" s="6" t="s">
        <v>253</v>
      </c>
      <c r="C4" s="6" t="s">
        <v>2512</v>
      </c>
      <c r="D4" s="6" t="s">
        <v>2513</v>
      </c>
      <c r="E4" s="6" t="s">
        <v>2514</v>
      </c>
      <c r="F4" s="6" t="s">
        <v>2515</v>
      </c>
      <c r="G4" s="6" t="s">
        <v>1022</v>
      </c>
      <c r="H4" s="6" t="s">
        <v>2516</v>
      </c>
      <c r="I4" s="6" t="s">
        <v>2517</v>
      </c>
      <c r="J4" s="6" t="s">
        <v>2518</v>
      </c>
      <c r="K4" s="6" t="s">
        <v>2519</v>
      </c>
      <c r="L4" s="6" t="s">
        <v>2520</v>
      </c>
      <c r="M4" s="6" t="s">
        <v>2521</v>
      </c>
      <c r="N4" s="6" t="s">
        <v>81</v>
      </c>
      <c r="O4" s="6" t="s">
        <v>854</v>
      </c>
    </row>
    <row r="5" spans="1:15" ht="28" x14ac:dyDescent="0.2">
      <c r="A5" s="7" t="s">
        <v>84</v>
      </c>
      <c r="B5" s="7" t="s">
        <v>2522</v>
      </c>
      <c r="C5" s="7" t="s">
        <v>187</v>
      </c>
      <c r="D5" s="7" t="s">
        <v>187</v>
      </c>
      <c r="E5" s="7" t="s">
        <v>187</v>
      </c>
      <c r="F5" s="7" t="s">
        <v>187</v>
      </c>
      <c r="G5" s="7" t="s">
        <v>187</v>
      </c>
      <c r="H5" s="7" t="s">
        <v>187</v>
      </c>
      <c r="I5" s="7" t="s">
        <v>187</v>
      </c>
      <c r="J5" s="7" t="s">
        <v>187</v>
      </c>
      <c r="K5" s="7" t="s">
        <v>187</v>
      </c>
      <c r="L5" s="7"/>
      <c r="M5" s="7"/>
      <c r="N5" s="7" t="s">
        <v>105</v>
      </c>
      <c r="O5" s="7" t="s">
        <v>2523</v>
      </c>
    </row>
    <row r="6" spans="1:15" ht="56" x14ac:dyDescent="0.2">
      <c r="A6" s="7" t="s">
        <v>107</v>
      </c>
      <c r="B6" s="7" t="s">
        <v>2522</v>
      </c>
      <c r="C6" s="7" t="s">
        <v>2512</v>
      </c>
      <c r="D6" s="7" t="s">
        <v>2524</v>
      </c>
      <c r="E6" s="7" t="s">
        <v>2514</v>
      </c>
      <c r="F6" s="7" t="s">
        <v>2525</v>
      </c>
      <c r="G6" s="7" t="s">
        <v>1046</v>
      </c>
      <c r="H6" s="7" t="s">
        <v>2526</v>
      </c>
      <c r="I6" s="7" t="s">
        <v>187</v>
      </c>
      <c r="J6" s="7" t="s">
        <v>2527</v>
      </c>
      <c r="K6" s="7" t="s">
        <v>187</v>
      </c>
      <c r="L6" s="7" t="s">
        <v>2528</v>
      </c>
      <c r="M6" s="7" t="s">
        <v>866</v>
      </c>
      <c r="N6" s="7" t="s">
        <v>105</v>
      </c>
      <c r="O6" s="7" t="s">
        <v>2529</v>
      </c>
    </row>
    <row r="7" spans="1:15" ht="42" x14ac:dyDescent="0.2">
      <c r="A7" s="7" t="s">
        <v>125</v>
      </c>
      <c r="B7" s="7" t="s">
        <v>2522</v>
      </c>
      <c r="C7" s="7" t="s">
        <v>2530</v>
      </c>
      <c r="D7" s="7" t="s">
        <v>2531</v>
      </c>
      <c r="E7" s="7" t="s">
        <v>2514</v>
      </c>
      <c r="F7" s="7" t="s">
        <v>2532</v>
      </c>
      <c r="G7" s="7" t="s">
        <v>1744</v>
      </c>
      <c r="H7" s="7" t="s">
        <v>2533</v>
      </c>
      <c r="I7" s="7" t="s">
        <v>2534</v>
      </c>
      <c r="J7" s="7" t="s">
        <v>2535</v>
      </c>
      <c r="K7" s="7" t="s">
        <v>2536</v>
      </c>
      <c r="L7" s="7" t="s">
        <v>2537</v>
      </c>
      <c r="M7" s="7" t="s">
        <v>1234</v>
      </c>
      <c r="N7" s="7" t="s">
        <v>105</v>
      </c>
      <c r="O7" s="7" t="s">
        <v>2538</v>
      </c>
    </row>
    <row r="8" spans="1:15" ht="42" x14ac:dyDescent="0.2">
      <c r="A8" s="7" t="s">
        <v>144</v>
      </c>
      <c r="B8" s="7" t="s">
        <v>2522</v>
      </c>
      <c r="C8" s="7" t="s">
        <v>187</v>
      </c>
      <c r="D8" s="7" t="s">
        <v>187</v>
      </c>
      <c r="E8" s="7" t="s">
        <v>187</v>
      </c>
      <c r="F8" s="7" t="s">
        <v>187</v>
      </c>
      <c r="G8" s="7" t="s">
        <v>187</v>
      </c>
      <c r="H8" s="7" t="s">
        <v>187</v>
      </c>
      <c r="I8" s="7" t="s">
        <v>187</v>
      </c>
      <c r="J8" s="7" t="s">
        <v>187</v>
      </c>
      <c r="K8" s="7" t="s">
        <v>187</v>
      </c>
      <c r="L8" s="7"/>
      <c r="M8" s="7"/>
      <c r="N8" s="7" t="s">
        <v>105</v>
      </c>
      <c r="O8" s="7" t="s">
        <v>2539</v>
      </c>
    </row>
    <row r="9" spans="1:15" ht="28" x14ac:dyDescent="0.2">
      <c r="A9" s="7" t="s">
        <v>160</v>
      </c>
      <c r="B9" s="7" t="s">
        <v>2522</v>
      </c>
      <c r="C9" s="7" t="s">
        <v>187</v>
      </c>
      <c r="D9" s="7" t="s">
        <v>187</v>
      </c>
      <c r="E9" s="7" t="s">
        <v>187</v>
      </c>
      <c r="F9" s="7" t="s">
        <v>187</v>
      </c>
      <c r="G9" s="7" t="s">
        <v>187</v>
      </c>
      <c r="H9" s="7" t="s">
        <v>187</v>
      </c>
      <c r="I9" s="7" t="s">
        <v>187</v>
      </c>
      <c r="J9" s="7" t="s">
        <v>187</v>
      </c>
      <c r="K9" s="7" t="s">
        <v>187</v>
      </c>
      <c r="L9" s="7" t="s">
        <v>2540</v>
      </c>
      <c r="M9" s="7" t="s">
        <v>2541</v>
      </c>
      <c r="N9" s="7" t="s">
        <v>105</v>
      </c>
      <c r="O9" s="7" t="s">
        <v>2542</v>
      </c>
    </row>
    <row r="10" spans="1:15" ht="56" x14ac:dyDescent="0.2">
      <c r="A10" s="7" t="s">
        <v>175</v>
      </c>
      <c r="B10" s="7" t="s">
        <v>2522</v>
      </c>
      <c r="C10" s="7" t="s">
        <v>2543</v>
      </c>
      <c r="D10" s="7" t="s">
        <v>2544</v>
      </c>
      <c r="E10" s="7" t="s">
        <v>2514</v>
      </c>
      <c r="F10" s="7" t="s">
        <v>2545</v>
      </c>
      <c r="G10" s="7" t="s">
        <v>185</v>
      </c>
      <c r="H10" s="7" t="s">
        <v>2546</v>
      </c>
      <c r="I10" s="7" t="s">
        <v>187</v>
      </c>
      <c r="J10" s="7" t="s">
        <v>2547</v>
      </c>
      <c r="K10" s="7" t="s">
        <v>2548</v>
      </c>
      <c r="L10" s="7" t="s">
        <v>2549</v>
      </c>
      <c r="M10" s="7" t="s">
        <v>2550</v>
      </c>
      <c r="N10" s="7" t="s">
        <v>105</v>
      </c>
      <c r="O10" s="7" t="s">
        <v>2551</v>
      </c>
    </row>
    <row r="11" spans="1:15" ht="28" x14ac:dyDescent="0.2">
      <c r="A11" s="7" t="s">
        <v>192</v>
      </c>
      <c r="B11" s="7" t="s">
        <v>934</v>
      </c>
      <c r="C11" s="7" t="s">
        <v>2512</v>
      </c>
      <c r="D11" s="7" t="s">
        <v>2552</v>
      </c>
      <c r="E11" s="7" t="s">
        <v>2514</v>
      </c>
      <c r="F11" s="7" t="s">
        <v>187</v>
      </c>
      <c r="G11" s="7" t="s">
        <v>465</v>
      </c>
      <c r="H11" s="7" t="s">
        <v>2553</v>
      </c>
      <c r="I11" s="7" t="s">
        <v>187</v>
      </c>
      <c r="J11" s="7" t="s">
        <v>2554</v>
      </c>
      <c r="K11" s="7" t="s">
        <v>187</v>
      </c>
      <c r="L11" s="7" t="s">
        <v>2555</v>
      </c>
      <c r="M11" s="7" t="s">
        <v>924</v>
      </c>
      <c r="N11" s="7" t="s">
        <v>105</v>
      </c>
      <c r="O11" s="7"/>
    </row>
    <row r="12" spans="1:15" ht="28" x14ac:dyDescent="0.2">
      <c r="A12" s="7" t="s">
        <v>192</v>
      </c>
      <c r="B12" s="7" t="s">
        <v>943</v>
      </c>
      <c r="C12" s="7" t="s">
        <v>2512</v>
      </c>
      <c r="D12" s="7" t="s">
        <v>2556</v>
      </c>
      <c r="E12" s="7" t="s">
        <v>2514</v>
      </c>
      <c r="F12" s="7" t="s">
        <v>187</v>
      </c>
      <c r="G12" s="7" t="s">
        <v>465</v>
      </c>
      <c r="H12" s="7" t="s">
        <v>2553</v>
      </c>
      <c r="I12" s="7" t="s">
        <v>187</v>
      </c>
      <c r="J12" s="7" t="s">
        <v>2554</v>
      </c>
      <c r="K12" s="7" t="s">
        <v>187</v>
      </c>
      <c r="L12" s="7" t="s">
        <v>2555</v>
      </c>
      <c r="M12" s="7" t="s">
        <v>924</v>
      </c>
      <c r="N12" s="7" t="s">
        <v>105</v>
      </c>
      <c r="O12" s="7" t="s">
        <v>2557</v>
      </c>
    </row>
    <row r="13" spans="1:15" ht="70" x14ac:dyDescent="0.2">
      <c r="A13" s="7" t="s">
        <v>211</v>
      </c>
      <c r="B13" s="7" t="s">
        <v>952</v>
      </c>
      <c r="C13" s="7" t="s">
        <v>2558</v>
      </c>
      <c r="D13" s="7" t="s">
        <v>2559</v>
      </c>
      <c r="E13" s="7" t="s">
        <v>2514</v>
      </c>
      <c r="F13" s="7" t="s">
        <v>2560</v>
      </c>
      <c r="G13" s="7" t="s">
        <v>954</v>
      </c>
      <c r="H13" s="7" t="s">
        <v>2561</v>
      </c>
      <c r="I13" s="7" t="s">
        <v>2562</v>
      </c>
      <c r="J13" s="7" t="s">
        <v>2563</v>
      </c>
      <c r="K13" s="7" t="s">
        <v>2564</v>
      </c>
      <c r="L13" s="7" t="s">
        <v>2565</v>
      </c>
      <c r="M13" s="7" t="s">
        <v>2566</v>
      </c>
      <c r="N13" s="7" t="s">
        <v>105</v>
      </c>
      <c r="O13" s="7" t="s">
        <v>2567</v>
      </c>
    </row>
    <row r="14" spans="1:15" ht="28" x14ac:dyDescent="0.2">
      <c r="A14" s="7" t="s">
        <v>211</v>
      </c>
      <c r="B14" s="7" t="s">
        <v>964</v>
      </c>
      <c r="C14" s="7" t="s">
        <v>2558</v>
      </c>
      <c r="D14" s="7" t="s">
        <v>2568</v>
      </c>
      <c r="E14" s="7" t="s">
        <v>2514</v>
      </c>
      <c r="F14" s="7" t="s">
        <v>2569</v>
      </c>
      <c r="G14" s="7" t="s">
        <v>965</v>
      </c>
      <c r="H14" s="7" t="s">
        <v>2561</v>
      </c>
      <c r="I14" s="7" t="s">
        <v>2570</v>
      </c>
      <c r="J14" s="7" t="s">
        <v>2527</v>
      </c>
      <c r="K14" s="7" t="s">
        <v>2571</v>
      </c>
      <c r="L14" s="7" t="s">
        <v>2572</v>
      </c>
      <c r="M14" s="7" t="s">
        <v>2566</v>
      </c>
      <c r="N14" s="7" t="s">
        <v>105</v>
      </c>
      <c r="O14" s="7"/>
    </row>
    <row r="15" spans="1:15" ht="56" x14ac:dyDescent="0.2">
      <c r="A15" s="7" t="s">
        <v>227</v>
      </c>
      <c r="B15" s="7" t="s">
        <v>2522</v>
      </c>
      <c r="C15" s="7" t="s">
        <v>2573</v>
      </c>
      <c r="D15" s="7" t="s">
        <v>187</v>
      </c>
      <c r="E15" s="7" t="s">
        <v>2514</v>
      </c>
      <c r="F15" s="7" t="s">
        <v>187</v>
      </c>
      <c r="G15" s="7" t="s">
        <v>187</v>
      </c>
      <c r="H15" s="7" t="s">
        <v>187</v>
      </c>
      <c r="I15" s="7" t="s">
        <v>187</v>
      </c>
      <c r="J15" s="7" t="s">
        <v>187</v>
      </c>
      <c r="K15" s="7" t="s">
        <v>187</v>
      </c>
      <c r="L15" s="7"/>
      <c r="M15" s="7"/>
      <c r="N15" s="7" t="s">
        <v>105</v>
      </c>
      <c r="O15" s="7" t="s">
        <v>2574</v>
      </c>
    </row>
    <row r="16" spans="1:15" ht="56" x14ac:dyDescent="0.2">
      <c r="A16" s="7" t="s">
        <v>244</v>
      </c>
      <c r="B16" s="7" t="s">
        <v>2575</v>
      </c>
      <c r="C16" s="7" t="s">
        <v>2573</v>
      </c>
      <c r="D16" s="7" t="s">
        <v>187</v>
      </c>
      <c r="E16" s="7" t="s">
        <v>2514</v>
      </c>
      <c r="F16" s="7" t="s">
        <v>187</v>
      </c>
      <c r="G16" s="7" t="s">
        <v>251</v>
      </c>
      <c r="H16" s="7" t="s">
        <v>187</v>
      </c>
      <c r="I16" s="7" t="s">
        <v>187</v>
      </c>
      <c r="J16" s="7" t="s">
        <v>187</v>
      </c>
      <c r="K16" s="7" t="s">
        <v>187</v>
      </c>
      <c r="L16" s="7" t="s">
        <v>2576</v>
      </c>
      <c r="M16" s="7" t="s">
        <v>2541</v>
      </c>
      <c r="N16" s="7" t="s">
        <v>105</v>
      </c>
      <c r="O16" s="7" t="s">
        <v>2577</v>
      </c>
    </row>
    <row r="17" spans="1:15" ht="42" x14ac:dyDescent="0.2">
      <c r="A17" s="7" t="s">
        <v>258</v>
      </c>
      <c r="B17" s="7" t="s">
        <v>2522</v>
      </c>
      <c r="C17" s="7" t="s">
        <v>2573</v>
      </c>
      <c r="D17" s="7" t="s">
        <v>187</v>
      </c>
      <c r="E17" s="7" t="s">
        <v>2514</v>
      </c>
      <c r="F17" s="7" t="s">
        <v>187</v>
      </c>
      <c r="G17" s="7" t="s">
        <v>187</v>
      </c>
      <c r="H17" s="7" t="s">
        <v>187</v>
      </c>
      <c r="I17" s="7" t="s">
        <v>187</v>
      </c>
      <c r="J17" s="7" t="s">
        <v>187</v>
      </c>
      <c r="K17" s="7" t="s">
        <v>187</v>
      </c>
      <c r="L17" s="7"/>
      <c r="M17" s="7"/>
      <c r="N17" s="7" t="s">
        <v>105</v>
      </c>
      <c r="O17" s="7" t="s">
        <v>2578</v>
      </c>
    </row>
    <row r="18" spans="1:15" ht="70" x14ac:dyDescent="0.2">
      <c r="A18" s="7" t="s">
        <v>271</v>
      </c>
      <c r="B18" s="7" t="s">
        <v>2522</v>
      </c>
      <c r="C18" s="7" t="s">
        <v>2512</v>
      </c>
      <c r="D18" s="7" t="s">
        <v>2579</v>
      </c>
      <c r="E18" s="7" t="s">
        <v>2514</v>
      </c>
      <c r="F18" s="7" t="s">
        <v>2580</v>
      </c>
      <c r="G18" s="7" t="s">
        <v>281</v>
      </c>
      <c r="H18" s="7" t="s">
        <v>2581</v>
      </c>
      <c r="I18" s="7" t="s">
        <v>2582</v>
      </c>
      <c r="J18" s="7" t="s">
        <v>2583</v>
      </c>
      <c r="K18" s="7" t="s">
        <v>2584</v>
      </c>
      <c r="L18" s="7" t="s">
        <v>2585</v>
      </c>
      <c r="M18" s="7" t="s">
        <v>924</v>
      </c>
      <c r="N18" s="7" t="s">
        <v>105</v>
      </c>
      <c r="O18" s="7" t="s">
        <v>2586</v>
      </c>
    </row>
    <row r="19" spans="1:15" ht="28" x14ac:dyDescent="0.2">
      <c r="A19" s="7" t="s">
        <v>271</v>
      </c>
      <c r="B19" s="7" t="s">
        <v>1004</v>
      </c>
      <c r="C19" s="7" t="s">
        <v>2512</v>
      </c>
      <c r="D19" s="7" t="s">
        <v>2587</v>
      </c>
      <c r="E19" s="7" t="s">
        <v>2514</v>
      </c>
      <c r="F19" s="7" t="s">
        <v>2588</v>
      </c>
      <c r="G19" s="7" t="s">
        <v>1006</v>
      </c>
      <c r="H19" s="7" t="s">
        <v>2589</v>
      </c>
      <c r="I19" s="7" t="s">
        <v>2590</v>
      </c>
      <c r="J19" s="7" t="s">
        <v>2518</v>
      </c>
      <c r="K19" s="7" t="s">
        <v>187</v>
      </c>
      <c r="L19" s="7" t="s">
        <v>2591</v>
      </c>
      <c r="M19" s="7" t="s">
        <v>1808</v>
      </c>
      <c r="N19" s="7" t="s">
        <v>105</v>
      </c>
      <c r="O19" s="7" t="s">
        <v>2592</v>
      </c>
    </row>
    <row r="20" spans="1:15" ht="28" x14ac:dyDescent="0.2">
      <c r="A20" s="7" t="s">
        <v>271</v>
      </c>
      <c r="B20" s="7" t="s">
        <v>1016</v>
      </c>
      <c r="C20" s="7" t="s">
        <v>2512</v>
      </c>
      <c r="D20" s="7" t="s">
        <v>2593</v>
      </c>
      <c r="E20" s="7" t="s">
        <v>2514</v>
      </c>
      <c r="F20" s="7" t="s">
        <v>2594</v>
      </c>
      <c r="G20" s="7" t="s">
        <v>1018</v>
      </c>
      <c r="H20" s="7" t="s">
        <v>2589</v>
      </c>
      <c r="I20" s="7" t="s">
        <v>2590</v>
      </c>
      <c r="J20" s="7" t="s">
        <v>2518</v>
      </c>
      <c r="K20" s="7" t="s">
        <v>187</v>
      </c>
      <c r="L20" s="7" t="s">
        <v>2595</v>
      </c>
      <c r="M20" s="7" t="s">
        <v>1808</v>
      </c>
      <c r="N20" s="7" t="s">
        <v>105</v>
      </c>
      <c r="O20" s="7" t="s">
        <v>2596</v>
      </c>
    </row>
    <row r="21" spans="1:15" ht="56" x14ac:dyDescent="0.2">
      <c r="A21" s="7" t="s">
        <v>271</v>
      </c>
      <c r="B21" s="7" t="s">
        <v>2597</v>
      </c>
      <c r="C21" s="7" t="s">
        <v>2512</v>
      </c>
      <c r="D21" s="7" t="s">
        <v>2598</v>
      </c>
      <c r="E21" s="7" t="s">
        <v>2514</v>
      </c>
      <c r="F21" s="7" t="s">
        <v>2599</v>
      </c>
      <c r="G21" s="7" t="s">
        <v>1022</v>
      </c>
      <c r="H21" s="7" t="s">
        <v>2589</v>
      </c>
      <c r="I21" s="7" t="s">
        <v>2590</v>
      </c>
      <c r="J21" s="7" t="s">
        <v>2518</v>
      </c>
      <c r="K21" s="7" t="s">
        <v>2600</v>
      </c>
      <c r="L21" s="7" t="s">
        <v>2601</v>
      </c>
      <c r="M21" s="7" t="s">
        <v>1069</v>
      </c>
      <c r="N21" s="7" t="s">
        <v>105</v>
      </c>
      <c r="O21" s="7" t="s">
        <v>2602</v>
      </c>
    </row>
    <row r="22" spans="1:15" ht="42" x14ac:dyDescent="0.2">
      <c r="A22" s="7" t="s">
        <v>271</v>
      </c>
      <c r="B22" s="7" t="s">
        <v>2603</v>
      </c>
      <c r="C22" s="7" t="s">
        <v>2512</v>
      </c>
      <c r="D22" s="7" t="s">
        <v>2604</v>
      </c>
      <c r="E22" s="7" t="s">
        <v>2514</v>
      </c>
      <c r="F22" s="7" t="s">
        <v>2605</v>
      </c>
      <c r="G22" s="7" t="s">
        <v>265</v>
      </c>
      <c r="H22" s="7" t="s">
        <v>2589</v>
      </c>
      <c r="I22" s="7" t="s">
        <v>2590</v>
      </c>
      <c r="J22" s="7" t="s">
        <v>2518</v>
      </c>
      <c r="K22" s="7" t="s">
        <v>2606</v>
      </c>
      <c r="L22" s="7" t="s">
        <v>2607</v>
      </c>
      <c r="M22" s="7" t="s">
        <v>1069</v>
      </c>
      <c r="N22" s="7" t="s">
        <v>105</v>
      </c>
      <c r="O22" s="7" t="s">
        <v>2608</v>
      </c>
    </row>
    <row r="23" spans="1:15" ht="42" x14ac:dyDescent="0.2">
      <c r="A23" s="7" t="s">
        <v>287</v>
      </c>
      <c r="B23" s="7" t="s">
        <v>2522</v>
      </c>
      <c r="C23" s="7" t="s">
        <v>2573</v>
      </c>
      <c r="D23" s="7" t="s">
        <v>187</v>
      </c>
      <c r="E23" s="7" t="s">
        <v>2514</v>
      </c>
      <c r="F23" s="7" t="s">
        <v>187</v>
      </c>
      <c r="G23" s="7" t="s">
        <v>187</v>
      </c>
      <c r="H23" s="7" t="s">
        <v>187</v>
      </c>
      <c r="I23" s="7" t="s">
        <v>187</v>
      </c>
      <c r="J23" s="7" t="s">
        <v>187</v>
      </c>
      <c r="K23" s="7" t="s">
        <v>187</v>
      </c>
      <c r="L23" s="7"/>
      <c r="M23" s="7"/>
      <c r="N23" s="7" t="s">
        <v>105</v>
      </c>
      <c r="O23" s="7" t="s">
        <v>2609</v>
      </c>
    </row>
    <row r="24" spans="1:15" ht="28" x14ac:dyDescent="0.2">
      <c r="A24" s="7" t="s">
        <v>303</v>
      </c>
      <c r="B24" s="7" t="s">
        <v>1042</v>
      </c>
      <c r="C24" s="7" t="s">
        <v>2610</v>
      </c>
      <c r="D24" s="7" t="s">
        <v>2611</v>
      </c>
      <c r="E24" s="7" t="s">
        <v>2514</v>
      </c>
      <c r="F24" s="7" t="s">
        <v>2612</v>
      </c>
      <c r="G24" s="7" t="s">
        <v>851</v>
      </c>
      <c r="H24" s="7" t="s">
        <v>2613</v>
      </c>
      <c r="I24" s="7" t="s">
        <v>2614</v>
      </c>
      <c r="J24" s="7" t="s">
        <v>2615</v>
      </c>
      <c r="K24" s="7" t="s">
        <v>2616</v>
      </c>
      <c r="L24" s="7" t="s">
        <v>2617</v>
      </c>
      <c r="M24" s="7" t="s">
        <v>924</v>
      </c>
      <c r="N24" s="7" t="s">
        <v>105</v>
      </c>
      <c r="O24" s="7" t="s">
        <v>2618</v>
      </c>
    </row>
    <row r="25" spans="1:15" ht="28" x14ac:dyDescent="0.2">
      <c r="A25" s="7" t="s">
        <v>303</v>
      </c>
      <c r="B25" s="7" t="s">
        <v>1049</v>
      </c>
      <c r="C25" s="7" t="s">
        <v>2610</v>
      </c>
      <c r="D25" s="7" t="s">
        <v>2619</v>
      </c>
      <c r="E25" s="7" t="s">
        <v>2514</v>
      </c>
      <c r="F25" s="7" t="s">
        <v>2620</v>
      </c>
      <c r="G25" s="7" t="s">
        <v>1051</v>
      </c>
      <c r="H25" s="7" t="s">
        <v>2613</v>
      </c>
      <c r="I25" s="7" t="s">
        <v>2621</v>
      </c>
      <c r="J25" s="7" t="s">
        <v>2615</v>
      </c>
      <c r="K25" s="7" t="s">
        <v>2622</v>
      </c>
      <c r="L25" s="7" t="s">
        <v>2623</v>
      </c>
      <c r="M25" s="7" t="s">
        <v>924</v>
      </c>
      <c r="N25" s="7" t="s">
        <v>105</v>
      </c>
      <c r="O25" s="7" t="s">
        <v>2624</v>
      </c>
    </row>
    <row r="26" spans="1:15" ht="42" x14ac:dyDescent="0.2">
      <c r="A26" s="7" t="s">
        <v>318</v>
      </c>
      <c r="B26" s="7" t="s">
        <v>2522</v>
      </c>
      <c r="C26" s="7" t="s">
        <v>2573</v>
      </c>
      <c r="D26" s="7" t="s">
        <v>187</v>
      </c>
      <c r="E26" s="7" t="s">
        <v>2514</v>
      </c>
      <c r="F26" s="7" t="s">
        <v>187</v>
      </c>
      <c r="G26" s="7" t="s">
        <v>187</v>
      </c>
      <c r="H26" s="7" t="s">
        <v>187</v>
      </c>
      <c r="I26" s="7" t="s">
        <v>187</v>
      </c>
      <c r="J26" s="7" t="s">
        <v>187</v>
      </c>
      <c r="K26" s="7" t="s">
        <v>187</v>
      </c>
      <c r="L26" s="7"/>
      <c r="M26" s="7"/>
      <c r="N26" s="7" t="s">
        <v>105</v>
      </c>
      <c r="O26" s="7" t="s">
        <v>2625</v>
      </c>
    </row>
    <row r="27" spans="1:15" ht="84" x14ac:dyDescent="0.2">
      <c r="A27" s="7" t="s">
        <v>335</v>
      </c>
      <c r="B27" s="7" t="s">
        <v>2522</v>
      </c>
      <c r="C27" s="7" t="s">
        <v>2573</v>
      </c>
      <c r="D27" s="7" t="s">
        <v>187</v>
      </c>
      <c r="E27" s="7" t="s">
        <v>2514</v>
      </c>
      <c r="F27" s="7" t="s">
        <v>187</v>
      </c>
      <c r="G27" s="7" t="s">
        <v>187</v>
      </c>
      <c r="H27" s="7" t="s">
        <v>187</v>
      </c>
      <c r="I27" s="7" t="s">
        <v>187</v>
      </c>
      <c r="J27" s="7" t="s">
        <v>2615</v>
      </c>
      <c r="K27" s="7" t="s">
        <v>187</v>
      </c>
      <c r="L27" s="7" t="s">
        <v>2626</v>
      </c>
      <c r="M27" s="7" t="s">
        <v>2627</v>
      </c>
      <c r="N27" s="7" t="s">
        <v>105</v>
      </c>
      <c r="O27" s="7" t="s">
        <v>2628</v>
      </c>
    </row>
    <row r="28" spans="1:15" ht="28" x14ac:dyDescent="0.2">
      <c r="A28" s="7" t="s">
        <v>353</v>
      </c>
      <c r="B28" s="7" t="s">
        <v>2522</v>
      </c>
      <c r="C28" s="7" t="s">
        <v>187</v>
      </c>
      <c r="D28" s="7" t="s">
        <v>187</v>
      </c>
      <c r="E28" s="7" t="s">
        <v>2514</v>
      </c>
      <c r="F28" s="7" t="s">
        <v>187</v>
      </c>
      <c r="G28" s="7" t="s">
        <v>187</v>
      </c>
      <c r="H28" s="7" t="s">
        <v>187</v>
      </c>
      <c r="I28" s="7" t="s">
        <v>187</v>
      </c>
      <c r="J28" s="7" t="s">
        <v>1232</v>
      </c>
      <c r="K28" s="7" t="s">
        <v>187</v>
      </c>
      <c r="L28" s="7"/>
      <c r="M28" s="7"/>
      <c r="N28" s="7" t="s">
        <v>105</v>
      </c>
      <c r="O28" s="7" t="s">
        <v>2629</v>
      </c>
    </row>
    <row r="29" spans="1:15" ht="70" x14ac:dyDescent="0.2">
      <c r="A29" s="7" t="s">
        <v>372</v>
      </c>
      <c r="B29" s="7" t="s">
        <v>1100</v>
      </c>
      <c r="C29" s="7" t="s">
        <v>2512</v>
      </c>
      <c r="D29" s="7" t="s">
        <v>2630</v>
      </c>
      <c r="E29" s="7" t="s">
        <v>2514</v>
      </c>
      <c r="F29" s="7" t="s">
        <v>2631</v>
      </c>
      <c r="G29" s="7" t="s">
        <v>203</v>
      </c>
      <c r="H29" s="7" t="s">
        <v>2632</v>
      </c>
      <c r="I29" s="7" t="s">
        <v>2633</v>
      </c>
      <c r="J29" s="7" t="s">
        <v>2535</v>
      </c>
      <c r="K29" s="7" t="s">
        <v>187</v>
      </c>
      <c r="L29" s="7" t="s">
        <v>2634</v>
      </c>
      <c r="M29" s="7" t="s">
        <v>924</v>
      </c>
      <c r="N29" s="7" t="s">
        <v>105</v>
      </c>
      <c r="O29" s="7"/>
    </row>
    <row r="30" spans="1:15" ht="56" x14ac:dyDescent="0.2">
      <c r="A30" s="7" t="s">
        <v>372</v>
      </c>
      <c r="B30" s="7" t="s">
        <v>1110</v>
      </c>
      <c r="C30" s="7" t="s">
        <v>2512</v>
      </c>
      <c r="D30" s="7" t="s">
        <v>2635</v>
      </c>
      <c r="E30" s="7" t="s">
        <v>2514</v>
      </c>
      <c r="F30" s="7" t="s">
        <v>2636</v>
      </c>
      <c r="G30" s="7" t="s">
        <v>346</v>
      </c>
      <c r="H30" s="7" t="s">
        <v>2637</v>
      </c>
      <c r="I30" s="7" t="s">
        <v>2633</v>
      </c>
      <c r="J30" s="7" t="s">
        <v>2535</v>
      </c>
      <c r="K30" s="7" t="s">
        <v>187</v>
      </c>
      <c r="L30" s="7" t="s">
        <v>2638</v>
      </c>
      <c r="M30" s="7" t="s">
        <v>924</v>
      </c>
      <c r="N30" s="7" t="s">
        <v>105</v>
      </c>
      <c r="O30" s="7" t="s">
        <v>2639</v>
      </c>
    </row>
    <row r="31" spans="1:15" ht="28" x14ac:dyDescent="0.2">
      <c r="A31" s="7" t="s">
        <v>386</v>
      </c>
      <c r="B31" s="7" t="s">
        <v>2640</v>
      </c>
      <c r="C31" s="7" t="s">
        <v>2641</v>
      </c>
      <c r="D31" s="7" t="s">
        <v>2642</v>
      </c>
      <c r="E31" s="7" t="s">
        <v>2514</v>
      </c>
      <c r="F31" s="7" t="s">
        <v>2643</v>
      </c>
      <c r="G31" s="7" t="s">
        <v>853</v>
      </c>
      <c r="H31" s="7" t="s">
        <v>2644</v>
      </c>
      <c r="I31" s="7" t="s">
        <v>187</v>
      </c>
      <c r="J31" s="7" t="s">
        <v>2645</v>
      </c>
      <c r="K31" s="7" t="s">
        <v>2646</v>
      </c>
      <c r="L31" s="7" t="s">
        <v>2647</v>
      </c>
      <c r="M31" s="7" t="s">
        <v>1700</v>
      </c>
      <c r="N31" s="7" t="s">
        <v>105</v>
      </c>
      <c r="O31" s="7"/>
    </row>
    <row r="32" spans="1:15" ht="28" x14ac:dyDescent="0.2">
      <c r="A32" s="7" t="s">
        <v>386</v>
      </c>
      <c r="B32" s="7" t="s">
        <v>2648</v>
      </c>
      <c r="C32" s="7" t="s">
        <v>2641</v>
      </c>
      <c r="D32" s="7" t="s">
        <v>2649</v>
      </c>
      <c r="E32" s="7" t="s">
        <v>2514</v>
      </c>
      <c r="F32" s="7" t="s">
        <v>2650</v>
      </c>
      <c r="G32" s="7" t="s">
        <v>1600</v>
      </c>
      <c r="H32" s="7" t="s">
        <v>2644</v>
      </c>
      <c r="I32" s="7" t="s">
        <v>187</v>
      </c>
      <c r="J32" s="7" t="s">
        <v>2645</v>
      </c>
      <c r="K32" s="7" t="s">
        <v>2651</v>
      </c>
      <c r="L32" s="7" t="s">
        <v>2647</v>
      </c>
      <c r="M32" s="7" t="s">
        <v>1700</v>
      </c>
      <c r="N32" s="7" t="s">
        <v>105</v>
      </c>
      <c r="O32" s="7"/>
    </row>
    <row r="33" spans="1:15" ht="42" x14ac:dyDescent="0.2">
      <c r="A33" s="7" t="s">
        <v>400</v>
      </c>
      <c r="B33" s="7" t="s">
        <v>2522</v>
      </c>
      <c r="C33" s="7" t="s">
        <v>2573</v>
      </c>
      <c r="D33" s="7" t="s">
        <v>187</v>
      </c>
      <c r="E33" s="7" t="s">
        <v>2514</v>
      </c>
      <c r="F33" s="7" t="s">
        <v>187</v>
      </c>
      <c r="G33" s="7" t="s">
        <v>407</v>
      </c>
      <c r="H33" s="7" t="s">
        <v>187</v>
      </c>
      <c r="I33" s="7" t="s">
        <v>187</v>
      </c>
      <c r="J33" s="7" t="s">
        <v>2518</v>
      </c>
      <c r="K33" s="7" t="s">
        <v>187</v>
      </c>
      <c r="L33" s="7" t="s">
        <v>2652</v>
      </c>
      <c r="M33" s="7" t="s">
        <v>2627</v>
      </c>
      <c r="N33" s="7" t="s">
        <v>105</v>
      </c>
      <c r="O33" s="7" t="s">
        <v>2653</v>
      </c>
    </row>
    <row r="34" spans="1:15" ht="42" x14ac:dyDescent="0.2">
      <c r="A34" s="7" t="s">
        <v>414</v>
      </c>
      <c r="B34" s="7" t="s">
        <v>1156</v>
      </c>
      <c r="C34" s="7" t="s">
        <v>187</v>
      </c>
      <c r="D34" s="7" t="s">
        <v>187</v>
      </c>
      <c r="E34" s="7" t="s">
        <v>1232</v>
      </c>
      <c r="F34" s="7" t="s">
        <v>187</v>
      </c>
      <c r="G34" s="7" t="s">
        <v>422</v>
      </c>
      <c r="H34" s="7" t="s">
        <v>2654</v>
      </c>
      <c r="I34" s="7" t="s">
        <v>187</v>
      </c>
      <c r="J34" s="7" t="s">
        <v>1232</v>
      </c>
      <c r="K34" s="7" t="s">
        <v>2655</v>
      </c>
      <c r="L34" s="7" t="s">
        <v>2656</v>
      </c>
      <c r="M34" s="7" t="s">
        <v>2627</v>
      </c>
      <c r="N34" s="7" t="s">
        <v>105</v>
      </c>
      <c r="O34" s="7" t="s">
        <v>2657</v>
      </c>
    </row>
    <row r="35" spans="1:15" ht="28" x14ac:dyDescent="0.2">
      <c r="A35" s="7" t="s">
        <v>429</v>
      </c>
      <c r="B35" s="7" t="s">
        <v>2658</v>
      </c>
      <c r="C35" s="7" t="s">
        <v>2659</v>
      </c>
      <c r="D35" s="7" t="s">
        <v>2660</v>
      </c>
      <c r="E35" s="7" t="s">
        <v>2661</v>
      </c>
      <c r="F35" s="7" t="s">
        <v>2662</v>
      </c>
      <c r="G35" s="7" t="s">
        <v>1392</v>
      </c>
      <c r="H35" s="7" t="s">
        <v>2663</v>
      </c>
      <c r="I35" s="7" t="s">
        <v>187</v>
      </c>
      <c r="J35" s="7" t="s">
        <v>2664</v>
      </c>
      <c r="K35" s="7" t="s">
        <v>2665</v>
      </c>
      <c r="L35" s="7" t="s">
        <v>2666</v>
      </c>
      <c r="M35" s="7" t="s">
        <v>924</v>
      </c>
      <c r="N35" s="7" t="s">
        <v>105</v>
      </c>
      <c r="O35" s="7" t="s">
        <v>2667</v>
      </c>
    </row>
    <row r="36" spans="1:15" ht="28" x14ac:dyDescent="0.2">
      <c r="A36" s="7" t="s">
        <v>429</v>
      </c>
      <c r="B36" s="7" t="s">
        <v>2668</v>
      </c>
      <c r="C36" s="7" t="s">
        <v>2669</v>
      </c>
      <c r="D36" s="7" t="s">
        <v>2670</v>
      </c>
      <c r="E36" s="7" t="s">
        <v>2661</v>
      </c>
      <c r="F36" s="7" t="s">
        <v>2671</v>
      </c>
      <c r="G36" s="7" t="s">
        <v>1046</v>
      </c>
      <c r="H36" s="7" t="s">
        <v>2663</v>
      </c>
      <c r="I36" s="7" t="s">
        <v>187</v>
      </c>
      <c r="J36" s="7" t="s">
        <v>2664</v>
      </c>
      <c r="K36" s="7" t="s">
        <v>2672</v>
      </c>
      <c r="L36" s="7" t="s">
        <v>2673</v>
      </c>
      <c r="M36" s="7" t="s">
        <v>981</v>
      </c>
      <c r="N36" s="7" t="s">
        <v>105</v>
      </c>
      <c r="O36" s="7" t="s">
        <v>2674</v>
      </c>
    </row>
    <row r="37" spans="1:15" ht="42" x14ac:dyDescent="0.2">
      <c r="A37" s="7" t="s">
        <v>442</v>
      </c>
      <c r="B37" s="7" t="s">
        <v>2522</v>
      </c>
      <c r="C37" s="7" t="s">
        <v>187</v>
      </c>
      <c r="D37" s="7" t="s">
        <v>187</v>
      </c>
      <c r="E37" s="7" t="s">
        <v>1232</v>
      </c>
      <c r="F37" s="7" t="s">
        <v>187</v>
      </c>
      <c r="G37" s="7" t="s">
        <v>450</v>
      </c>
      <c r="H37" s="7" t="s">
        <v>187</v>
      </c>
      <c r="I37" s="7" t="s">
        <v>187</v>
      </c>
      <c r="J37" s="7" t="s">
        <v>1232</v>
      </c>
      <c r="K37" s="7" t="s">
        <v>187</v>
      </c>
      <c r="L37" s="7" t="s">
        <v>2675</v>
      </c>
      <c r="M37" s="7" t="s">
        <v>2676</v>
      </c>
      <c r="N37" s="7" t="s">
        <v>105</v>
      </c>
      <c r="O37" s="7" t="s">
        <v>2677</v>
      </c>
    </row>
    <row r="38" spans="1:15" ht="56" x14ac:dyDescent="0.2">
      <c r="A38" s="7" t="s">
        <v>456</v>
      </c>
      <c r="B38" s="7" t="s">
        <v>1214</v>
      </c>
      <c r="C38" s="7" t="s">
        <v>2678</v>
      </c>
      <c r="D38" s="7" t="s">
        <v>2679</v>
      </c>
      <c r="E38" s="7" t="s">
        <v>2514</v>
      </c>
      <c r="F38" s="7" t="s">
        <v>2680</v>
      </c>
      <c r="G38" s="7" t="s">
        <v>465</v>
      </c>
      <c r="H38" s="7" t="s">
        <v>2681</v>
      </c>
      <c r="I38" s="7" t="s">
        <v>187</v>
      </c>
      <c r="J38" s="7" t="s">
        <v>2682</v>
      </c>
      <c r="K38" s="7" t="s">
        <v>187</v>
      </c>
      <c r="L38" s="7" t="s">
        <v>2683</v>
      </c>
      <c r="M38" s="7" t="s">
        <v>2253</v>
      </c>
      <c r="N38" s="7" t="s">
        <v>105</v>
      </c>
      <c r="O38" s="7" t="s">
        <v>2684</v>
      </c>
    </row>
    <row r="39" spans="1:15" ht="28" x14ac:dyDescent="0.2">
      <c r="A39" s="7" t="s">
        <v>472</v>
      </c>
      <c r="B39" s="7" t="s">
        <v>2522</v>
      </c>
      <c r="C39" s="7" t="s">
        <v>2685</v>
      </c>
      <c r="D39" s="7" t="s">
        <v>187</v>
      </c>
      <c r="E39" s="7" t="s">
        <v>1232</v>
      </c>
      <c r="F39" s="7" t="s">
        <v>187</v>
      </c>
      <c r="G39" s="7" t="s">
        <v>187</v>
      </c>
      <c r="H39" s="7" t="s">
        <v>187</v>
      </c>
      <c r="I39" s="7" t="s">
        <v>187</v>
      </c>
      <c r="J39" s="7" t="s">
        <v>1232</v>
      </c>
      <c r="K39" s="7" t="s">
        <v>187</v>
      </c>
      <c r="L39" s="7"/>
      <c r="M39" s="7"/>
      <c r="N39" s="7" t="s">
        <v>105</v>
      </c>
      <c r="O39" s="7" t="s">
        <v>2686</v>
      </c>
    </row>
    <row r="40" spans="1:15" ht="56" x14ac:dyDescent="0.2">
      <c r="A40" s="7" t="s">
        <v>486</v>
      </c>
      <c r="B40" s="7" t="s">
        <v>2522</v>
      </c>
      <c r="C40" s="7" t="s">
        <v>2687</v>
      </c>
      <c r="D40" s="7" t="s">
        <v>187</v>
      </c>
      <c r="E40" s="7" t="s">
        <v>2514</v>
      </c>
      <c r="F40" s="7" t="s">
        <v>187</v>
      </c>
      <c r="G40" s="7" t="s">
        <v>187</v>
      </c>
      <c r="H40" s="7" t="s">
        <v>2688</v>
      </c>
      <c r="I40" s="7" t="s">
        <v>2689</v>
      </c>
      <c r="J40" s="7" t="s">
        <v>2690</v>
      </c>
      <c r="K40" s="7" t="s">
        <v>187</v>
      </c>
      <c r="L40" s="7" t="s">
        <v>2691</v>
      </c>
      <c r="M40" s="7" t="s">
        <v>2627</v>
      </c>
      <c r="N40" s="7" t="s">
        <v>105</v>
      </c>
      <c r="O40" s="7" t="s">
        <v>2692</v>
      </c>
    </row>
    <row r="41" spans="1:15" ht="28" x14ac:dyDescent="0.2">
      <c r="A41" s="7" t="s">
        <v>501</v>
      </c>
      <c r="B41" s="7" t="s">
        <v>2522</v>
      </c>
      <c r="C41" s="7" t="s">
        <v>2685</v>
      </c>
      <c r="D41" s="7" t="s">
        <v>187</v>
      </c>
      <c r="E41" s="7" t="s">
        <v>1232</v>
      </c>
      <c r="F41" s="7" t="s">
        <v>187</v>
      </c>
      <c r="G41" s="7" t="s">
        <v>187</v>
      </c>
      <c r="H41" s="7" t="s">
        <v>187</v>
      </c>
      <c r="I41" s="7" t="s">
        <v>187</v>
      </c>
      <c r="J41" s="7" t="s">
        <v>1232</v>
      </c>
      <c r="K41" s="7" t="s">
        <v>187</v>
      </c>
      <c r="L41" s="7"/>
      <c r="M41" s="7"/>
      <c r="N41" s="7" t="s">
        <v>105</v>
      </c>
      <c r="O41" s="7" t="s">
        <v>2693</v>
      </c>
    </row>
    <row r="42" spans="1:15" ht="70" x14ac:dyDescent="0.2">
      <c r="A42" s="7" t="s">
        <v>516</v>
      </c>
      <c r="B42" s="7" t="s">
        <v>2522</v>
      </c>
      <c r="C42" s="7" t="s">
        <v>2694</v>
      </c>
      <c r="D42" s="7" t="s">
        <v>187</v>
      </c>
      <c r="E42" s="7" t="s">
        <v>1232</v>
      </c>
      <c r="F42" s="7" t="s">
        <v>187</v>
      </c>
      <c r="G42" s="7" t="s">
        <v>187</v>
      </c>
      <c r="H42" s="7" t="s">
        <v>2695</v>
      </c>
      <c r="I42" s="7" t="s">
        <v>187</v>
      </c>
      <c r="J42" s="7" t="s">
        <v>187</v>
      </c>
      <c r="K42" s="7" t="s">
        <v>187</v>
      </c>
      <c r="L42" s="7" t="s">
        <v>2696</v>
      </c>
      <c r="M42" s="7" t="s">
        <v>2697</v>
      </c>
      <c r="N42" s="7" t="s">
        <v>105</v>
      </c>
      <c r="O42" s="7" t="s">
        <v>2698</v>
      </c>
    </row>
    <row r="43" spans="1:15" ht="140" x14ac:dyDescent="0.2">
      <c r="A43" s="7" t="s">
        <v>532</v>
      </c>
      <c r="B43" s="7" t="s">
        <v>2699</v>
      </c>
      <c r="C43" s="7" t="s">
        <v>2700</v>
      </c>
      <c r="D43" s="7" t="s">
        <v>2701</v>
      </c>
      <c r="E43" s="7" t="s">
        <v>2514</v>
      </c>
      <c r="F43" s="7" t="s">
        <v>187</v>
      </c>
      <c r="G43" s="7" t="s">
        <v>542</v>
      </c>
      <c r="H43" s="7" t="s">
        <v>2702</v>
      </c>
      <c r="I43" s="7" t="s">
        <v>2703</v>
      </c>
      <c r="J43" s="7" t="s">
        <v>2704</v>
      </c>
      <c r="K43" s="7" t="s">
        <v>2705</v>
      </c>
      <c r="L43" s="7" t="s">
        <v>2706</v>
      </c>
      <c r="M43" s="7" t="s">
        <v>2707</v>
      </c>
      <c r="N43" s="7" t="s">
        <v>105</v>
      </c>
      <c r="O43" s="7" t="s">
        <v>2708</v>
      </c>
    </row>
    <row r="44" spans="1:15" ht="56" x14ac:dyDescent="0.2">
      <c r="A44" s="7" t="s">
        <v>548</v>
      </c>
      <c r="B44" s="7" t="s">
        <v>2522</v>
      </c>
      <c r="C44" s="7" t="s">
        <v>2685</v>
      </c>
      <c r="D44" s="7" t="s">
        <v>187</v>
      </c>
      <c r="E44" s="7" t="s">
        <v>1232</v>
      </c>
      <c r="F44" s="7" t="s">
        <v>187</v>
      </c>
      <c r="G44" s="7" t="s">
        <v>187</v>
      </c>
      <c r="H44" s="7" t="s">
        <v>187</v>
      </c>
      <c r="I44" s="7" t="s">
        <v>187</v>
      </c>
      <c r="J44" s="7" t="s">
        <v>1232</v>
      </c>
      <c r="K44" s="7" t="s">
        <v>187</v>
      </c>
      <c r="L44" s="7"/>
      <c r="M44" s="7"/>
      <c r="N44" s="7" t="s">
        <v>105</v>
      </c>
      <c r="O44" s="7" t="s">
        <v>2709</v>
      </c>
    </row>
    <row r="45" spans="1:15" ht="126" x14ac:dyDescent="0.2">
      <c r="A45" s="7" t="s">
        <v>563</v>
      </c>
      <c r="B45" s="7" t="s">
        <v>2522</v>
      </c>
      <c r="C45" s="7" t="s">
        <v>2710</v>
      </c>
      <c r="D45" s="7" t="s">
        <v>2711</v>
      </c>
      <c r="E45" s="7" t="s">
        <v>2514</v>
      </c>
      <c r="F45" s="7" t="s">
        <v>187</v>
      </c>
      <c r="G45" s="7" t="s">
        <v>572</v>
      </c>
      <c r="H45" s="7" t="s">
        <v>187</v>
      </c>
      <c r="I45" s="7" t="s">
        <v>2712</v>
      </c>
      <c r="J45" s="7" t="s">
        <v>2690</v>
      </c>
      <c r="K45" s="7" t="s">
        <v>187</v>
      </c>
      <c r="L45" s="7" t="s">
        <v>2713</v>
      </c>
      <c r="M45" s="7" t="s">
        <v>2714</v>
      </c>
      <c r="N45" s="7" t="s">
        <v>105</v>
      </c>
      <c r="O45" s="7" t="s">
        <v>2715</v>
      </c>
    </row>
    <row r="46" spans="1:15" ht="28" x14ac:dyDescent="0.2">
      <c r="A46" s="7" t="s">
        <v>578</v>
      </c>
      <c r="B46" s="7" t="s">
        <v>1317</v>
      </c>
      <c r="C46" s="7" t="s">
        <v>2716</v>
      </c>
      <c r="D46" s="7" t="s">
        <v>2717</v>
      </c>
      <c r="E46" s="7" t="s">
        <v>2718</v>
      </c>
      <c r="F46" s="7" t="s">
        <v>187</v>
      </c>
      <c r="G46" s="7" t="s">
        <v>843</v>
      </c>
      <c r="H46" s="7" t="s">
        <v>187</v>
      </c>
      <c r="I46" s="7" t="s">
        <v>187</v>
      </c>
      <c r="J46" s="7" t="s">
        <v>2554</v>
      </c>
      <c r="K46" s="7" t="s">
        <v>2719</v>
      </c>
      <c r="L46" s="7" t="s">
        <v>2720</v>
      </c>
      <c r="M46" s="7" t="s">
        <v>924</v>
      </c>
      <c r="N46" s="7" t="s">
        <v>105</v>
      </c>
      <c r="O46" s="7"/>
    </row>
    <row r="47" spans="1:15" ht="42" x14ac:dyDescent="0.2">
      <c r="A47" s="7" t="s">
        <v>578</v>
      </c>
      <c r="B47" s="7" t="s">
        <v>1329</v>
      </c>
      <c r="C47" s="7" t="s">
        <v>2716</v>
      </c>
      <c r="D47" s="7" t="s">
        <v>2721</v>
      </c>
      <c r="E47" s="7" t="s">
        <v>2718</v>
      </c>
      <c r="F47" s="7" t="s">
        <v>187</v>
      </c>
      <c r="G47" s="7" t="s">
        <v>1331</v>
      </c>
      <c r="H47" s="7" t="s">
        <v>187</v>
      </c>
      <c r="I47" s="7" t="s">
        <v>187</v>
      </c>
      <c r="J47" s="7" t="s">
        <v>2554</v>
      </c>
      <c r="K47" s="7" t="s">
        <v>187</v>
      </c>
      <c r="L47" s="7" t="s">
        <v>2720</v>
      </c>
      <c r="M47" s="7" t="s">
        <v>924</v>
      </c>
      <c r="N47" s="7" t="s">
        <v>105</v>
      </c>
      <c r="O47" s="7"/>
    </row>
    <row r="48" spans="1:15" ht="42" x14ac:dyDescent="0.2">
      <c r="A48" s="7" t="s">
        <v>578</v>
      </c>
      <c r="B48" s="7" t="s">
        <v>1342</v>
      </c>
      <c r="C48" s="7" t="s">
        <v>2716</v>
      </c>
      <c r="D48" s="7" t="s">
        <v>2722</v>
      </c>
      <c r="E48" s="7" t="s">
        <v>2718</v>
      </c>
      <c r="F48" s="7" t="s">
        <v>187</v>
      </c>
      <c r="G48" s="7" t="s">
        <v>927</v>
      </c>
      <c r="H48" s="7" t="s">
        <v>187</v>
      </c>
      <c r="I48" s="7" t="s">
        <v>187</v>
      </c>
      <c r="J48" s="7" t="s">
        <v>2554</v>
      </c>
      <c r="K48" s="7" t="s">
        <v>187</v>
      </c>
      <c r="L48" s="7" t="s">
        <v>2720</v>
      </c>
      <c r="M48" s="7" t="s">
        <v>924</v>
      </c>
      <c r="N48" s="7" t="s">
        <v>105</v>
      </c>
      <c r="O48" s="7" t="s">
        <v>2723</v>
      </c>
    </row>
    <row r="49" spans="1:15" ht="56" x14ac:dyDescent="0.2">
      <c r="A49" s="7" t="s">
        <v>593</v>
      </c>
      <c r="B49" s="7" t="s">
        <v>2724</v>
      </c>
      <c r="C49" s="7" t="s">
        <v>2725</v>
      </c>
      <c r="D49" s="7" t="s">
        <v>2726</v>
      </c>
      <c r="E49" s="7" t="s">
        <v>2727</v>
      </c>
      <c r="F49" s="7" t="s">
        <v>2728</v>
      </c>
      <c r="G49" s="7" t="s">
        <v>600</v>
      </c>
      <c r="H49" s="7" t="s">
        <v>187</v>
      </c>
      <c r="I49" s="7" t="s">
        <v>187</v>
      </c>
      <c r="J49" s="7" t="s">
        <v>2573</v>
      </c>
      <c r="K49" s="7" t="s">
        <v>2729</v>
      </c>
      <c r="L49" s="7" t="s">
        <v>2730</v>
      </c>
      <c r="M49" s="7" t="s">
        <v>924</v>
      </c>
      <c r="N49" s="7" t="s">
        <v>105</v>
      </c>
      <c r="O49" s="7" t="s">
        <v>2731</v>
      </c>
    </row>
    <row r="50" spans="1:15" ht="28" x14ac:dyDescent="0.2">
      <c r="A50" s="7" t="s">
        <v>607</v>
      </c>
      <c r="B50" s="7" t="s">
        <v>2522</v>
      </c>
      <c r="C50" s="7" t="s">
        <v>2573</v>
      </c>
      <c r="D50" s="7" t="s">
        <v>187</v>
      </c>
      <c r="E50" s="7" t="s">
        <v>1232</v>
      </c>
      <c r="F50" s="7" t="s">
        <v>187</v>
      </c>
      <c r="G50" s="7" t="s">
        <v>187</v>
      </c>
      <c r="H50" s="7" t="s">
        <v>187</v>
      </c>
      <c r="I50" s="7" t="s">
        <v>187</v>
      </c>
      <c r="J50" s="7" t="s">
        <v>1232</v>
      </c>
      <c r="K50" s="7" t="s">
        <v>187</v>
      </c>
      <c r="L50" s="7"/>
      <c r="M50" s="7"/>
      <c r="N50" s="7" t="s">
        <v>105</v>
      </c>
      <c r="O50" s="7" t="s">
        <v>2732</v>
      </c>
    </row>
    <row r="51" spans="1:15" ht="42" x14ac:dyDescent="0.2">
      <c r="A51" s="7" t="s">
        <v>622</v>
      </c>
      <c r="B51" s="7" t="s">
        <v>2522</v>
      </c>
      <c r="C51" s="7" t="s">
        <v>2573</v>
      </c>
      <c r="D51" s="7" t="s">
        <v>187</v>
      </c>
      <c r="E51" s="7" t="s">
        <v>1232</v>
      </c>
      <c r="F51" s="7" t="s">
        <v>187</v>
      </c>
      <c r="G51" s="7" t="s">
        <v>187</v>
      </c>
      <c r="H51" s="7" t="s">
        <v>187</v>
      </c>
      <c r="I51" s="7" t="s">
        <v>187</v>
      </c>
      <c r="J51" s="7" t="s">
        <v>1232</v>
      </c>
      <c r="K51" s="7" t="s">
        <v>187</v>
      </c>
      <c r="L51" s="7"/>
      <c r="M51" s="7"/>
      <c r="N51" s="7" t="s">
        <v>105</v>
      </c>
      <c r="O51" s="7" t="s">
        <v>2733</v>
      </c>
    </row>
    <row r="52" spans="1:15" ht="28" x14ac:dyDescent="0.2">
      <c r="A52" s="7" t="s">
        <v>638</v>
      </c>
      <c r="B52" s="7" t="s">
        <v>2522</v>
      </c>
      <c r="C52" s="7" t="s">
        <v>2573</v>
      </c>
      <c r="D52" s="7" t="s">
        <v>187</v>
      </c>
      <c r="E52" s="7" t="s">
        <v>1232</v>
      </c>
      <c r="F52" s="7" t="s">
        <v>187</v>
      </c>
      <c r="G52" s="7" t="s">
        <v>187</v>
      </c>
      <c r="H52" s="7" t="s">
        <v>187</v>
      </c>
      <c r="I52" s="7" t="s">
        <v>187</v>
      </c>
      <c r="J52" s="7" t="s">
        <v>1232</v>
      </c>
      <c r="K52" s="7" t="s">
        <v>187</v>
      </c>
      <c r="L52" s="7"/>
      <c r="M52" s="7"/>
      <c r="N52" s="7" t="s">
        <v>105</v>
      </c>
      <c r="O52" s="7" t="s">
        <v>2734</v>
      </c>
    </row>
    <row r="53" spans="1:15" ht="70" x14ac:dyDescent="0.2">
      <c r="A53" s="7" t="s">
        <v>654</v>
      </c>
      <c r="B53" s="7" t="s">
        <v>2522</v>
      </c>
      <c r="C53" s="7" t="s">
        <v>2573</v>
      </c>
      <c r="D53" s="7" t="s">
        <v>187</v>
      </c>
      <c r="E53" s="7" t="s">
        <v>1232</v>
      </c>
      <c r="F53" s="7" t="s">
        <v>187</v>
      </c>
      <c r="G53" s="7" t="s">
        <v>187</v>
      </c>
      <c r="H53" s="7" t="s">
        <v>187</v>
      </c>
      <c r="I53" s="7" t="s">
        <v>187</v>
      </c>
      <c r="J53" s="7" t="s">
        <v>1232</v>
      </c>
      <c r="K53" s="7" t="s">
        <v>187</v>
      </c>
      <c r="L53" s="7" t="s">
        <v>2735</v>
      </c>
      <c r="M53" s="7" t="s">
        <v>2676</v>
      </c>
      <c r="N53" s="7" t="s">
        <v>105</v>
      </c>
      <c r="O53" s="7" t="s">
        <v>2736</v>
      </c>
    </row>
    <row r="54" spans="1:15" ht="28" x14ac:dyDescent="0.2">
      <c r="A54" s="7" t="s">
        <v>665</v>
      </c>
      <c r="B54" s="7" t="s">
        <v>2522</v>
      </c>
      <c r="C54" s="7" t="s">
        <v>2573</v>
      </c>
      <c r="D54" s="7" t="s">
        <v>187</v>
      </c>
      <c r="E54" s="7" t="s">
        <v>1232</v>
      </c>
      <c r="F54" s="7" t="s">
        <v>187</v>
      </c>
      <c r="G54" s="7" t="s">
        <v>187</v>
      </c>
      <c r="H54" s="7" t="s">
        <v>187</v>
      </c>
      <c r="I54" s="7" t="s">
        <v>187</v>
      </c>
      <c r="J54" s="7" t="s">
        <v>1232</v>
      </c>
      <c r="K54" s="7" t="s">
        <v>187</v>
      </c>
      <c r="L54" s="7"/>
      <c r="M54" s="7"/>
      <c r="N54" s="7" t="s">
        <v>105</v>
      </c>
      <c r="O54" s="7" t="s">
        <v>2734</v>
      </c>
    </row>
    <row r="55" spans="1:15" ht="56" x14ac:dyDescent="0.2">
      <c r="A55" s="7" t="s">
        <v>675</v>
      </c>
      <c r="B55" s="7" t="s">
        <v>2522</v>
      </c>
      <c r="C55" s="7" t="s">
        <v>2573</v>
      </c>
      <c r="D55" s="7" t="s">
        <v>187</v>
      </c>
      <c r="E55" s="7" t="s">
        <v>1232</v>
      </c>
      <c r="F55" s="7" t="s">
        <v>187</v>
      </c>
      <c r="G55" s="7" t="s">
        <v>187</v>
      </c>
      <c r="H55" s="7" t="s">
        <v>187</v>
      </c>
      <c r="I55" s="7" t="s">
        <v>187</v>
      </c>
      <c r="J55" s="7" t="s">
        <v>1232</v>
      </c>
      <c r="K55" s="7" t="s">
        <v>187</v>
      </c>
      <c r="L55" s="7" t="s">
        <v>2737</v>
      </c>
      <c r="M55" s="7" t="s">
        <v>2676</v>
      </c>
      <c r="N55" s="7" t="s">
        <v>105</v>
      </c>
      <c r="O55" s="7" t="s">
        <v>2738</v>
      </c>
    </row>
    <row r="56" spans="1:15" ht="84" x14ac:dyDescent="0.2">
      <c r="A56" s="7" t="s">
        <v>692</v>
      </c>
      <c r="B56" s="7" t="s">
        <v>2739</v>
      </c>
      <c r="C56" s="7" t="s">
        <v>2512</v>
      </c>
      <c r="D56" s="7" t="s">
        <v>2740</v>
      </c>
      <c r="E56" s="7" t="s">
        <v>2514</v>
      </c>
      <c r="F56" s="7" t="s">
        <v>2741</v>
      </c>
      <c r="G56" s="7" t="s">
        <v>1372</v>
      </c>
      <c r="H56" s="7" t="s">
        <v>2742</v>
      </c>
      <c r="I56" s="7" t="s">
        <v>2743</v>
      </c>
      <c r="J56" s="7" t="s">
        <v>2573</v>
      </c>
      <c r="K56" s="7" t="s">
        <v>2744</v>
      </c>
      <c r="L56" s="7" t="s">
        <v>2745</v>
      </c>
      <c r="M56" s="7" t="s">
        <v>924</v>
      </c>
      <c r="N56" s="7" t="s">
        <v>105</v>
      </c>
      <c r="O56" s="7" t="s">
        <v>2746</v>
      </c>
    </row>
    <row r="57" spans="1:15" ht="56" x14ac:dyDescent="0.2">
      <c r="A57" s="7" t="s">
        <v>692</v>
      </c>
      <c r="B57" s="7" t="s">
        <v>2747</v>
      </c>
      <c r="C57" s="7" t="s">
        <v>2512</v>
      </c>
      <c r="D57" s="7" t="s">
        <v>2748</v>
      </c>
      <c r="E57" s="7" t="s">
        <v>2514</v>
      </c>
      <c r="F57" s="7" t="s">
        <v>2749</v>
      </c>
      <c r="G57" s="7" t="s">
        <v>136</v>
      </c>
      <c r="H57" s="7" t="s">
        <v>2750</v>
      </c>
      <c r="I57" s="7" t="s">
        <v>187</v>
      </c>
      <c r="J57" s="7" t="s">
        <v>2573</v>
      </c>
      <c r="K57" s="7" t="s">
        <v>2751</v>
      </c>
      <c r="L57" s="7" t="s">
        <v>2745</v>
      </c>
      <c r="M57" s="7" t="s">
        <v>924</v>
      </c>
      <c r="N57" s="7" t="s">
        <v>105</v>
      </c>
      <c r="O57" s="7" t="s">
        <v>2752</v>
      </c>
    </row>
    <row r="58" spans="1:15" ht="42" x14ac:dyDescent="0.2">
      <c r="A58" s="7" t="s">
        <v>708</v>
      </c>
      <c r="B58" s="7" t="s">
        <v>2522</v>
      </c>
      <c r="C58" s="7" t="s">
        <v>1232</v>
      </c>
      <c r="D58" s="7" t="s">
        <v>187</v>
      </c>
      <c r="E58" s="7" t="s">
        <v>2514</v>
      </c>
      <c r="F58" s="7" t="s">
        <v>187</v>
      </c>
      <c r="G58" s="7" t="s">
        <v>187</v>
      </c>
      <c r="H58" s="7" t="s">
        <v>187</v>
      </c>
      <c r="I58" s="7" t="s">
        <v>187</v>
      </c>
      <c r="J58" s="7" t="s">
        <v>1232</v>
      </c>
      <c r="K58" s="7" t="s">
        <v>187</v>
      </c>
      <c r="L58" s="7" t="s">
        <v>2753</v>
      </c>
      <c r="M58" s="7" t="s">
        <v>2541</v>
      </c>
      <c r="N58" s="7" t="s">
        <v>105</v>
      </c>
      <c r="O58" s="7" t="s">
        <v>2754</v>
      </c>
    </row>
    <row r="59" spans="1:15" ht="56" x14ac:dyDescent="0.2">
      <c r="A59" s="7" t="s">
        <v>723</v>
      </c>
      <c r="B59" s="7" t="s">
        <v>2755</v>
      </c>
      <c r="C59" s="7" t="s">
        <v>2756</v>
      </c>
      <c r="D59" s="7" t="s">
        <v>2757</v>
      </c>
      <c r="E59" s="7" t="s">
        <v>2514</v>
      </c>
      <c r="F59" s="7" t="s">
        <v>2758</v>
      </c>
      <c r="G59" s="7" t="s">
        <v>731</v>
      </c>
      <c r="H59" s="7" t="s">
        <v>2759</v>
      </c>
      <c r="I59" s="7" t="s">
        <v>187</v>
      </c>
      <c r="J59" s="7" t="s">
        <v>2645</v>
      </c>
      <c r="K59" s="7" t="s">
        <v>2760</v>
      </c>
      <c r="L59" s="7" t="s">
        <v>2761</v>
      </c>
      <c r="M59" s="7" t="s">
        <v>924</v>
      </c>
      <c r="N59" s="7" t="s">
        <v>105</v>
      </c>
      <c r="O59" s="7" t="s">
        <v>2762</v>
      </c>
    </row>
    <row r="60" spans="1:15" ht="28" x14ac:dyDescent="0.2">
      <c r="A60" s="7" t="s">
        <v>738</v>
      </c>
      <c r="B60" s="7" t="s">
        <v>2522</v>
      </c>
      <c r="C60" s="7" t="s">
        <v>1232</v>
      </c>
      <c r="D60" s="7" t="s">
        <v>187</v>
      </c>
      <c r="E60" s="7" t="s">
        <v>2514</v>
      </c>
      <c r="F60" s="7" t="s">
        <v>187</v>
      </c>
      <c r="G60" s="7" t="s">
        <v>187</v>
      </c>
      <c r="H60" s="7" t="s">
        <v>187</v>
      </c>
      <c r="I60" s="7" t="s">
        <v>187</v>
      </c>
      <c r="J60" s="7" t="s">
        <v>1232</v>
      </c>
      <c r="K60" s="7" t="s">
        <v>187</v>
      </c>
      <c r="L60" s="7"/>
      <c r="M60" s="7"/>
      <c r="N60" s="7" t="s">
        <v>105</v>
      </c>
      <c r="O60" s="7" t="s">
        <v>2523</v>
      </c>
    </row>
    <row r="61" spans="1:15" ht="42" x14ac:dyDescent="0.2">
      <c r="A61" s="7" t="s">
        <v>752</v>
      </c>
      <c r="B61" s="7" t="s">
        <v>2522</v>
      </c>
      <c r="C61" s="7" t="s">
        <v>1232</v>
      </c>
      <c r="D61" s="7" t="s">
        <v>187</v>
      </c>
      <c r="E61" s="7" t="s">
        <v>2514</v>
      </c>
      <c r="F61" s="7" t="s">
        <v>187</v>
      </c>
      <c r="G61" s="7" t="s">
        <v>187</v>
      </c>
      <c r="H61" s="7" t="s">
        <v>187</v>
      </c>
      <c r="I61" s="7" t="s">
        <v>187</v>
      </c>
      <c r="J61" s="7" t="s">
        <v>1232</v>
      </c>
      <c r="K61" s="7" t="s">
        <v>187</v>
      </c>
      <c r="L61" s="7" t="s">
        <v>2763</v>
      </c>
      <c r="M61" s="7" t="s">
        <v>2541</v>
      </c>
      <c r="N61" s="7" t="s">
        <v>105</v>
      </c>
      <c r="O61" s="7" t="s">
        <v>2764</v>
      </c>
    </row>
    <row r="62" spans="1:15" ht="42" x14ac:dyDescent="0.2">
      <c r="A62" s="7" t="s">
        <v>766</v>
      </c>
      <c r="B62" s="7" t="s">
        <v>2522</v>
      </c>
      <c r="C62" s="7" t="s">
        <v>1232</v>
      </c>
      <c r="D62" s="7" t="s">
        <v>187</v>
      </c>
      <c r="E62" s="7" t="s">
        <v>2514</v>
      </c>
      <c r="F62" s="7" t="s">
        <v>187</v>
      </c>
      <c r="G62" s="7" t="s">
        <v>187</v>
      </c>
      <c r="H62" s="7" t="s">
        <v>187</v>
      </c>
      <c r="I62" s="7" t="s">
        <v>187</v>
      </c>
      <c r="J62" s="7" t="s">
        <v>1232</v>
      </c>
      <c r="K62" s="7" t="s">
        <v>187</v>
      </c>
      <c r="L62" s="7" t="s">
        <v>2765</v>
      </c>
      <c r="M62" s="7" t="s">
        <v>2541</v>
      </c>
      <c r="N62" s="7" t="s">
        <v>105</v>
      </c>
      <c r="O62" s="7" t="s">
        <v>2766</v>
      </c>
    </row>
    <row r="63" spans="1:15" ht="42" x14ac:dyDescent="0.2">
      <c r="A63" s="7" t="s">
        <v>780</v>
      </c>
      <c r="B63" s="7" t="s">
        <v>1589</v>
      </c>
      <c r="C63" s="7" t="s">
        <v>2756</v>
      </c>
      <c r="D63" s="7" t="s">
        <v>2767</v>
      </c>
      <c r="E63" s="7" t="s">
        <v>2514</v>
      </c>
      <c r="F63" s="7" t="s">
        <v>2768</v>
      </c>
      <c r="G63" s="7" t="s">
        <v>2769</v>
      </c>
      <c r="H63" s="7" t="s">
        <v>2770</v>
      </c>
      <c r="I63" s="7" t="s">
        <v>2771</v>
      </c>
      <c r="J63" s="7" t="s">
        <v>2535</v>
      </c>
      <c r="K63" s="7" t="s">
        <v>2772</v>
      </c>
      <c r="L63" s="7" t="s">
        <v>2773</v>
      </c>
      <c r="M63" s="7" t="s">
        <v>924</v>
      </c>
      <c r="N63" s="7" t="s">
        <v>105</v>
      </c>
      <c r="O63" s="7"/>
    </row>
    <row r="64" spans="1:15" ht="56" x14ac:dyDescent="0.2">
      <c r="A64" s="7" t="s">
        <v>780</v>
      </c>
      <c r="B64" s="7" t="s">
        <v>253</v>
      </c>
      <c r="C64" s="7" t="s">
        <v>2756</v>
      </c>
      <c r="D64" s="7" t="s">
        <v>2774</v>
      </c>
      <c r="E64" s="7" t="s">
        <v>2514</v>
      </c>
      <c r="F64" s="7" t="s">
        <v>2775</v>
      </c>
      <c r="G64" s="7" t="s">
        <v>187</v>
      </c>
      <c r="H64" s="7" t="s">
        <v>2770</v>
      </c>
      <c r="I64" s="7" t="s">
        <v>2776</v>
      </c>
      <c r="J64" s="7" t="s">
        <v>2535</v>
      </c>
      <c r="K64" s="7" t="s">
        <v>2777</v>
      </c>
      <c r="L64" s="7" t="s">
        <v>2773</v>
      </c>
      <c r="M64" s="7" t="s">
        <v>924</v>
      </c>
      <c r="N64" s="7" t="s">
        <v>105</v>
      </c>
      <c r="O64" s="7" t="s">
        <v>2778</v>
      </c>
    </row>
    <row r="65" spans="1:15" ht="56" x14ac:dyDescent="0.2">
      <c r="A65" s="7" t="s">
        <v>793</v>
      </c>
      <c r="B65" s="7" t="s">
        <v>2755</v>
      </c>
      <c r="C65" s="7" t="s">
        <v>2779</v>
      </c>
      <c r="D65" s="7" t="s">
        <v>2780</v>
      </c>
      <c r="E65" s="7" t="s">
        <v>2781</v>
      </c>
      <c r="F65" s="7" t="s">
        <v>2782</v>
      </c>
      <c r="G65" s="7" t="s">
        <v>600</v>
      </c>
      <c r="H65" s="7" t="s">
        <v>2770</v>
      </c>
      <c r="I65" s="7" t="s">
        <v>187</v>
      </c>
      <c r="J65" s="7" t="s">
        <v>187</v>
      </c>
      <c r="K65" s="7" t="s">
        <v>2783</v>
      </c>
      <c r="L65" s="7" t="s">
        <v>2730</v>
      </c>
      <c r="M65" s="7" t="s">
        <v>924</v>
      </c>
      <c r="N65" s="7" t="s">
        <v>105</v>
      </c>
      <c r="O65" s="7" t="s">
        <v>2784</v>
      </c>
    </row>
    <row r="66" spans="1:15" ht="42" x14ac:dyDescent="0.2">
      <c r="A66" s="7" t="s">
        <v>802</v>
      </c>
      <c r="B66" s="7" t="s">
        <v>1627</v>
      </c>
      <c r="C66" s="7" t="s">
        <v>2785</v>
      </c>
      <c r="D66" s="7" t="s">
        <v>2786</v>
      </c>
      <c r="E66" s="7" t="s">
        <v>2514</v>
      </c>
      <c r="F66" s="7" t="s">
        <v>2787</v>
      </c>
      <c r="G66" s="7" t="s">
        <v>2788</v>
      </c>
      <c r="H66" s="7" t="s">
        <v>2789</v>
      </c>
      <c r="I66" s="7" t="s">
        <v>187</v>
      </c>
      <c r="J66" s="7" t="s">
        <v>2645</v>
      </c>
      <c r="K66" s="7" t="s">
        <v>2790</v>
      </c>
      <c r="L66" s="7" t="s">
        <v>2791</v>
      </c>
      <c r="M66" s="7" t="s">
        <v>2792</v>
      </c>
      <c r="N66" s="7" t="s">
        <v>105</v>
      </c>
      <c r="O66" s="7" t="s">
        <v>2793</v>
      </c>
    </row>
    <row r="67" spans="1:15" ht="42" x14ac:dyDescent="0.2">
      <c r="A67" s="7" t="s">
        <v>802</v>
      </c>
      <c r="B67" s="7" t="s">
        <v>1640</v>
      </c>
      <c r="C67" s="7" t="s">
        <v>2785</v>
      </c>
      <c r="D67" s="7" t="s">
        <v>2794</v>
      </c>
      <c r="E67" s="7" t="s">
        <v>2514</v>
      </c>
      <c r="F67" s="7" t="s">
        <v>2795</v>
      </c>
      <c r="G67" s="7" t="s">
        <v>2788</v>
      </c>
      <c r="H67" s="7" t="s">
        <v>2789</v>
      </c>
      <c r="I67" s="7" t="s">
        <v>187</v>
      </c>
      <c r="J67" s="7" t="s">
        <v>2645</v>
      </c>
      <c r="K67" s="7" t="s">
        <v>2796</v>
      </c>
      <c r="L67" s="7" t="s">
        <v>2791</v>
      </c>
      <c r="M67" s="7" t="s">
        <v>2792</v>
      </c>
      <c r="N67" s="7" t="s">
        <v>105</v>
      </c>
      <c r="O67" s="7" t="s">
        <v>2797</v>
      </c>
    </row>
  </sheetData>
  <dataValidations count="3">
    <dataValidation type="list" allowBlank="1" sqref="C4:C400" xr:uid="{00000000-0002-0000-0400-000000000000}">
      <formula1>"Baseline mean,Baseline median,Peak,Follow-up/nadir,Change from baseline,Other"</formula1>
      <formula2>0</formula2>
    </dataValidation>
    <dataValidation type="list" allowBlank="1" sqref="H4:H400" xr:uid="{00000000-0002-0000-0400-000001000000}">
      <formula1>"Fungitell,Wako,Goldstream,Other,NR,NA"</formula1>
      <formula2>0</formula2>
    </dataValidation>
    <dataValidation type="list" allowBlank="1" sqref="N4:N400" xr:uid="{00000000-0002-0000-0400-000002000000}">
      <formula1>"Reviewer A,Reviewer B,Consensus,REL (adjudicator),Claude (machine draft)"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0"/>
  <sheetViews>
    <sheetView showGridLines="0" zoomScaleNormal="100" workbookViewId="0">
      <pane ySplit="3" topLeftCell="A7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3" width="18" customWidth="1"/>
    <col min="4" max="4" width="14" customWidth="1"/>
    <col min="5" max="5" width="22" customWidth="1"/>
    <col min="6" max="6" width="16" customWidth="1"/>
    <col min="7" max="7" width="12" customWidth="1"/>
    <col min="8" max="8" width="24" customWidth="1"/>
    <col min="9" max="9" width="20" customWidth="1"/>
    <col min="10" max="10" width="18" customWidth="1"/>
    <col min="11" max="11" width="40" customWidth="1"/>
    <col min="12" max="13" width="14" customWidth="1"/>
    <col min="14" max="14" width="24" customWidth="1"/>
  </cols>
  <sheetData>
    <row r="1" spans="1:14" ht="17" x14ac:dyDescent="0.2">
      <c r="A1" s="1" t="s">
        <v>2798</v>
      </c>
    </row>
    <row r="3" spans="1:14" ht="42" customHeight="1" x14ac:dyDescent="0.2">
      <c r="A3" s="5" t="s">
        <v>25</v>
      </c>
      <c r="B3" s="5" t="s">
        <v>2502</v>
      </c>
      <c r="C3" s="5" t="s">
        <v>2799</v>
      </c>
      <c r="D3" s="5" t="s">
        <v>2800</v>
      </c>
      <c r="E3" s="5" t="s">
        <v>2801</v>
      </c>
      <c r="F3" s="5" t="s">
        <v>2802</v>
      </c>
      <c r="G3" s="5" t="s">
        <v>2803</v>
      </c>
      <c r="H3" s="5" t="s">
        <v>2804</v>
      </c>
      <c r="I3" s="5" t="s">
        <v>2805</v>
      </c>
      <c r="J3" s="5" t="s">
        <v>2806</v>
      </c>
      <c r="K3" s="5" t="s">
        <v>1658</v>
      </c>
      <c r="L3" s="5" t="s">
        <v>838</v>
      </c>
      <c r="M3" s="5" t="s">
        <v>52</v>
      </c>
      <c r="N3" s="5" t="s">
        <v>1659</v>
      </c>
    </row>
    <row r="4" spans="1:14" ht="28" x14ac:dyDescent="0.2">
      <c r="A4" s="6" t="s">
        <v>55</v>
      </c>
      <c r="B4" s="6" t="s">
        <v>253</v>
      </c>
      <c r="C4" s="6" t="s">
        <v>74</v>
      </c>
      <c r="D4" s="6" t="s">
        <v>845</v>
      </c>
      <c r="E4" s="6" t="s">
        <v>2807</v>
      </c>
      <c r="F4" s="6" t="s">
        <v>2808</v>
      </c>
      <c r="G4" s="6" t="s">
        <v>136</v>
      </c>
      <c r="H4" s="6" t="s">
        <v>2809</v>
      </c>
      <c r="I4" s="6" t="s">
        <v>2810</v>
      </c>
      <c r="J4" s="6" t="s">
        <v>77</v>
      </c>
      <c r="K4" s="6" t="s">
        <v>2811</v>
      </c>
      <c r="L4" s="6" t="s">
        <v>2812</v>
      </c>
      <c r="M4" s="6" t="s">
        <v>81</v>
      </c>
      <c r="N4" s="6" t="s">
        <v>854</v>
      </c>
    </row>
    <row r="5" spans="1:14" ht="42" x14ac:dyDescent="0.2">
      <c r="A5" s="7" t="s">
        <v>84</v>
      </c>
      <c r="B5" s="7" t="s">
        <v>856</v>
      </c>
      <c r="C5" s="7" t="s">
        <v>139</v>
      </c>
      <c r="D5" s="7" t="s">
        <v>863</v>
      </c>
      <c r="E5" s="7" t="s">
        <v>2813</v>
      </c>
      <c r="F5" s="7" t="s">
        <v>2814</v>
      </c>
      <c r="G5" s="7" t="s">
        <v>187</v>
      </c>
      <c r="H5" s="7" t="s">
        <v>2815</v>
      </c>
      <c r="I5" s="7" t="s">
        <v>2816</v>
      </c>
      <c r="J5" s="7" t="s">
        <v>77</v>
      </c>
      <c r="K5" s="7" t="s">
        <v>2817</v>
      </c>
      <c r="L5" s="7" t="s">
        <v>2627</v>
      </c>
      <c r="M5" s="7" t="s">
        <v>105</v>
      </c>
      <c r="N5" s="7" t="s">
        <v>2818</v>
      </c>
    </row>
    <row r="6" spans="1:14" ht="28" x14ac:dyDescent="0.2">
      <c r="A6" s="7" t="s">
        <v>84</v>
      </c>
      <c r="B6" s="7" t="s">
        <v>867</v>
      </c>
      <c r="C6" s="7" t="s">
        <v>80</v>
      </c>
      <c r="D6" s="7" t="s">
        <v>869</v>
      </c>
      <c r="E6" s="7" t="s">
        <v>2819</v>
      </c>
      <c r="F6" s="7" t="s">
        <v>187</v>
      </c>
      <c r="G6" s="7" t="s">
        <v>187</v>
      </c>
      <c r="H6" s="7" t="s">
        <v>187</v>
      </c>
      <c r="I6" s="7" t="s">
        <v>2820</v>
      </c>
      <c r="J6" s="7" t="s">
        <v>77</v>
      </c>
      <c r="K6" s="7" t="s">
        <v>2821</v>
      </c>
      <c r="L6" s="7" t="s">
        <v>1234</v>
      </c>
      <c r="M6" s="7" t="s">
        <v>105</v>
      </c>
      <c r="N6" s="7"/>
    </row>
    <row r="7" spans="1:14" ht="56" x14ac:dyDescent="0.2">
      <c r="A7" s="7" t="s">
        <v>107</v>
      </c>
      <c r="B7" s="7" t="s">
        <v>2522</v>
      </c>
      <c r="C7" s="7" t="s">
        <v>74</v>
      </c>
      <c r="D7" s="7" t="s">
        <v>876</v>
      </c>
      <c r="E7" s="7" t="s">
        <v>2822</v>
      </c>
      <c r="F7" s="7" t="s">
        <v>2823</v>
      </c>
      <c r="G7" s="7" t="s">
        <v>187</v>
      </c>
      <c r="H7" s="7" t="s">
        <v>2824</v>
      </c>
      <c r="I7" s="7" t="s">
        <v>2825</v>
      </c>
      <c r="J7" s="7" t="s">
        <v>77</v>
      </c>
      <c r="K7" s="7" t="s">
        <v>2826</v>
      </c>
      <c r="L7" s="7" t="s">
        <v>1234</v>
      </c>
      <c r="M7" s="7" t="s">
        <v>105</v>
      </c>
      <c r="N7" s="7" t="s">
        <v>2827</v>
      </c>
    </row>
    <row r="8" spans="1:14" ht="56" x14ac:dyDescent="0.2">
      <c r="A8" s="7" t="s">
        <v>125</v>
      </c>
      <c r="B8" s="7" t="s">
        <v>2522</v>
      </c>
      <c r="C8" s="7" t="s">
        <v>139</v>
      </c>
      <c r="D8" s="7" t="s">
        <v>586</v>
      </c>
      <c r="E8" s="7" t="s">
        <v>2828</v>
      </c>
      <c r="F8" s="7" t="s">
        <v>2829</v>
      </c>
      <c r="G8" s="7" t="s">
        <v>187</v>
      </c>
      <c r="H8" s="7" t="s">
        <v>2830</v>
      </c>
      <c r="I8" s="7" t="s">
        <v>2831</v>
      </c>
      <c r="J8" s="7" t="s">
        <v>80</v>
      </c>
      <c r="K8" s="7" t="s">
        <v>2832</v>
      </c>
      <c r="L8" s="7" t="s">
        <v>1234</v>
      </c>
      <c r="M8" s="7" t="s">
        <v>105</v>
      </c>
      <c r="N8" s="7" t="s">
        <v>2833</v>
      </c>
    </row>
    <row r="9" spans="1:14" ht="70" x14ac:dyDescent="0.2">
      <c r="A9" s="7" t="s">
        <v>144</v>
      </c>
      <c r="B9" s="7" t="s">
        <v>2522</v>
      </c>
      <c r="C9" s="7" t="s">
        <v>74</v>
      </c>
      <c r="D9" s="7" t="s">
        <v>169</v>
      </c>
      <c r="E9" s="7" t="s">
        <v>2834</v>
      </c>
      <c r="F9" s="7" t="s">
        <v>2835</v>
      </c>
      <c r="G9" s="7" t="s">
        <v>187</v>
      </c>
      <c r="H9" s="7" t="s">
        <v>2836</v>
      </c>
      <c r="I9" s="7" t="s">
        <v>2831</v>
      </c>
      <c r="J9" s="7" t="s">
        <v>104</v>
      </c>
      <c r="K9" s="7" t="s">
        <v>2837</v>
      </c>
      <c r="L9" s="7" t="s">
        <v>2838</v>
      </c>
      <c r="M9" s="7" t="s">
        <v>105</v>
      </c>
      <c r="N9" s="7" t="s">
        <v>2839</v>
      </c>
    </row>
    <row r="10" spans="1:14" ht="98" x14ac:dyDescent="0.2">
      <c r="A10" s="7" t="s">
        <v>160</v>
      </c>
      <c r="B10" s="7" t="s">
        <v>2522</v>
      </c>
      <c r="C10" s="7" t="s">
        <v>139</v>
      </c>
      <c r="D10" s="7" t="s">
        <v>863</v>
      </c>
      <c r="E10" s="7" t="s">
        <v>2840</v>
      </c>
      <c r="F10" s="7" t="s">
        <v>2841</v>
      </c>
      <c r="G10" s="7" t="s">
        <v>187</v>
      </c>
      <c r="H10" s="7" t="s">
        <v>2842</v>
      </c>
      <c r="I10" s="7" t="s">
        <v>2843</v>
      </c>
      <c r="J10" s="7" t="s">
        <v>77</v>
      </c>
      <c r="K10" s="7" t="s">
        <v>2844</v>
      </c>
      <c r="L10" s="7" t="s">
        <v>1696</v>
      </c>
      <c r="M10" s="7" t="s">
        <v>105</v>
      </c>
      <c r="N10" s="7" t="s">
        <v>2845</v>
      </c>
    </row>
    <row r="11" spans="1:14" ht="70" x14ac:dyDescent="0.2">
      <c r="A11" s="7" t="s">
        <v>175</v>
      </c>
      <c r="B11" s="7" t="s">
        <v>2522</v>
      </c>
      <c r="C11" s="7" t="s">
        <v>187</v>
      </c>
      <c r="D11" s="7" t="s">
        <v>187</v>
      </c>
      <c r="E11" s="7" t="s">
        <v>187</v>
      </c>
      <c r="F11" s="7" t="s">
        <v>187</v>
      </c>
      <c r="G11" s="7" t="s">
        <v>187</v>
      </c>
      <c r="H11" s="7" t="s">
        <v>187</v>
      </c>
      <c r="I11" s="7" t="s">
        <v>187</v>
      </c>
      <c r="J11" s="7" t="s">
        <v>80</v>
      </c>
      <c r="K11" s="7" t="s">
        <v>2846</v>
      </c>
      <c r="L11" s="7" t="s">
        <v>2627</v>
      </c>
      <c r="M11" s="7" t="s">
        <v>105</v>
      </c>
      <c r="N11" s="7" t="s">
        <v>2847</v>
      </c>
    </row>
    <row r="12" spans="1:14" ht="56" x14ac:dyDescent="0.2">
      <c r="A12" s="7" t="s">
        <v>192</v>
      </c>
      <c r="B12" s="7" t="s">
        <v>934</v>
      </c>
      <c r="C12" s="7" t="s">
        <v>139</v>
      </c>
      <c r="D12" s="7" t="s">
        <v>863</v>
      </c>
      <c r="E12" s="7" t="s">
        <v>2828</v>
      </c>
      <c r="F12" s="7" t="s">
        <v>2848</v>
      </c>
      <c r="G12" s="7" t="s">
        <v>2849</v>
      </c>
      <c r="H12" s="7" t="s">
        <v>2850</v>
      </c>
      <c r="I12" s="7" t="s">
        <v>2554</v>
      </c>
      <c r="J12" s="7" t="s">
        <v>77</v>
      </c>
      <c r="K12" s="7" t="s">
        <v>2851</v>
      </c>
      <c r="L12" s="7" t="s">
        <v>2627</v>
      </c>
      <c r="M12" s="7" t="s">
        <v>105</v>
      </c>
      <c r="N12" s="7" t="s">
        <v>2852</v>
      </c>
    </row>
    <row r="13" spans="1:14" ht="42" x14ac:dyDescent="0.2">
      <c r="A13" s="7" t="s">
        <v>192</v>
      </c>
      <c r="B13" s="7" t="s">
        <v>943</v>
      </c>
      <c r="C13" s="7" t="s">
        <v>139</v>
      </c>
      <c r="D13" s="7" t="s">
        <v>863</v>
      </c>
      <c r="E13" s="7" t="s">
        <v>2828</v>
      </c>
      <c r="F13" s="7" t="s">
        <v>2853</v>
      </c>
      <c r="G13" s="7" t="s">
        <v>2849</v>
      </c>
      <c r="H13" s="7" t="s">
        <v>2850</v>
      </c>
      <c r="I13" s="7" t="s">
        <v>2554</v>
      </c>
      <c r="J13" s="7" t="s">
        <v>77</v>
      </c>
      <c r="K13" s="7" t="s">
        <v>2851</v>
      </c>
      <c r="L13" s="7" t="s">
        <v>2627</v>
      </c>
      <c r="M13" s="7" t="s">
        <v>105</v>
      </c>
      <c r="N13" s="7"/>
    </row>
    <row r="14" spans="1:14" ht="56" x14ac:dyDescent="0.2">
      <c r="A14" s="7" t="s">
        <v>211</v>
      </c>
      <c r="B14" s="7" t="s">
        <v>952</v>
      </c>
      <c r="C14" s="7" t="s">
        <v>139</v>
      </c>
      <c r="D14" s="7" t="s">
        <v>863</v>
      </c>
      <c r="E14" s="7" t="s">
        <v>2854</v>
      </c>
      <c r="F14" s="7" t="s">
        <v>2855</v>
      </c>
      <c r="G14" s="7" t="s">
        <v>187</v>
      </c>
      <c r="H14" s="7" t="s">
        <v>2856</v>
      </c>
      <c r="I14" s="7" t="s">
        <v>2831</v>
      </c>
      <c r="J14" s="7" t="s">
        <v>77</v>
      </c>
      <c r="K14" s="7" t="s">
        <v>2857</v>
      </c>
      <c r="L14" s="7" t="s">
        <v>1234</v>
      </c>
      <c r="M14" s="7" t="s">
        <v>105</v>
      </c>
      <c r="N14" s="7" t="s">
        <v>2858</v>
      </c>
    </row>
    <row r="15" spans="1:14" ht="42" x14ac:dyDescent="0.2">
      <c r="A15" s="7" t="s">
        <v>211</v>
      </c>
      <c r="B15" s="7" t="s">
        <v>964</v>
      </c>
      <c r="C15" s="7" t="s">
        <v>139</v>
      </c>
      <c r="D15" s="7" t="s">
        <v>863</v>
      </c>
      <c r="E15" s="7" t="s">
        <v>2859</v>
      </c>
      <c r="F15" s="7" t="s">
        <v>2860</v>
      </c>
      <c r="G15" s="7" t="s">
        <v>187</v>
      </c>
      <c r="H15" s="7" t="s">
        <v>2861</v>
      </c>
      <c r="I15" s="7" t="s">
        <v>2831</v>
      </c>
      <c r="J15" s="7" t="s">
        <v>77</v>
      </c>
      <c r="K15" s="7" t="s">
        <v>2862</v>
      </c>
      <c r="L15" s="7" t="s">
        <v>1234</v>
      </c>
      <c r="M15" s="7" t="s">
        <v>105</v>
      </c>
      <c r="N15" s="7"/>
    </row>
    <row r="16" spans="1:14" ht="56" x14ac:dyDescent="0.2">
      <c r="A16" s="7" t="s">
        <v>227</v>
      </c>
      <c r="B16" s="7" t="s">
        <v>982</v>
      </c>
      <c r="C16" s="7" t="s">
        <v>74</v>
      </c>
      <c r="D16" s="7" t="s">
        <v>1582</v>
      </c>
      <c r="E16" s="7" t="s">
        <v>2863</v>
      </c>
      <c r="F16" s="7" t="s">
        <v>2864</v>
      </c>
      <c r="G16" s="7" t="s">
        <v>843</v>
      </c>
      <c r="H16" s="7" t="s">
        <v>2865</v>
      </c>
      <c r="I16" s="7" t="s">
        <v>2866</v>
      </c>
      <c r="J16" s="7" t="s">
        <v>77</v>
      </c>
      <c r="K16" s="7" t="s">
        <v>2867</v>
      </c>
      <c r="L16" s="7" t="s">
        <v>2868</v>
      </c>
      <c r="M16" s="7" t="s">
        <v>105</v>
      </c>
      <c r="N16" s="7" t="s">
        <v>2869</v>
      </c>
    </row>
    <row r="17" spans="1:14" ht="28" x14ac:dyDescent="0.2">
      <c r="A17" s="7" t="s">
        <v>227</v>
      </c>
      <c r="B17" s="7" t="s">
        <v>975</v>
      </c>
      <c r="C17" s="7" t="s">
        <v>80</v>
      </c>
      <c r="D17" s="7" t="s">
        <v>850</v>
      </c>
      <c r="E17" s="7" t="s">
        <v>1232</v>
      </c>
      <c r="F17" s="7" t="s">
        <v>1232</v>
      </c>
      <c r="G17" s="7" t="s">
        <v>1232</v>
      </c>
      <c r="H17" s="7" t="s">
        <v>1232</v>
      </c>
      <c r="I17" s="7" t="s">
        <v>1232</v>
      </c>
      <c r="J17" s="7" t="s">
        <v>77</v>
      </c>
      <c r="K17" s="7" t="s">
        <v>2870</v>
      </c>
      <c r="L17" s="7" t="s">
        <v>981</v>
      </c>
      <c r="M17" s="7" t="s">
        <v>105</v>
      </c>
      <c r="N17" s="7"/>
    </row>
    <row r="18" spans="1:14" ht="70" x14ac:dyDescent="0.2">
      <c r="A18" s="7" t="s">
        <v>244</v>
      </c>
      <c r="B18" s="7" t="s">
        <v>2575</v>
      </c>
      <c r="C18" s="7" t="s">
        <v>139</v>
      </c>
      <c r="D18" s="7" t="s">
        <v>863</v>
      </c>
      <c r="E18" s="7" t="s">
        <v>2807</v>
      </c>
      <c r="F18" s="7" t="s">
        <v>2871</v>
      </c>
      <c r="G18" s="7" t="s">
        <v>187</v>
      </c>
      <c r="H18" s="7" t="s">
        <v>2872</v>
      </c>
      <c r="I18" s="7" t="s">
        <v>2873</v>
      </c>
      <c r="J18" s="7" t="s">
        <v>1232</v>
      </c>
      <c r="K18" s="7" t="s">
        <v>2874</v>
      </c>
      <c r="L18" s="7" t="s">
        <v>2875</v>
      </c>
      <c r="M18" s="7" t="s">
        <v>105</v>
      </c>
      <c r="N18" s="7"/>
    </row>
    <row r="19" spans="1:14" ht="84" x14ac:dyDescent="0.2">
      <c r="A19" s="7" t="s">
        <v>258</v>
      </c>
      <c r="B19" s="7" t="s">
        <v>2522</v>
      </c>
      <c r="C19" s="7" t="s">
        <v>80</v>
      </c>
      <c r="D19" s="7" t="s">
        <v>187</v>
      </c>
      <c r="E19" s="7" t="s">
        <v>2876</v>
      </c>
      <c r="F19" s="7" t="s">
        <v>2877</v>
      </c>
      <c r="G19" s="7" t="s">
        <v>187</v>
      </c>
      <c r="H19" s="7" t="s">
        <v>2878</v>
      </c>
      <c r="I19" s="7" t="s">
        <v>1232</v>
      </c>
      <c r="J19" s="7" t="s">
        <v>80</v>
      </c>
      <c r="K19" s="7" t="s">
        <v>2879</v>
      </c>
      <c r="L19" s="7" t="s">
        <v>2880</v>
      </c>
      <c r="M19" s="7" t="s">
        <v>105</v>
      </c>
      <c r="N19" s="7" t="s">
        <v>2881</v>
      </c>
    </row>
    <row r="20" spans="1:14" ht="56" x14ac:dyDescent="0.2">
      <c r="A20" s="7" t="s">
        <v>271</v>
      </c>
      <c r="B20" s="7" t="s">
        <v>2522</v>
      </c>
      <c r="C20" s="7" t="s">
        <v>139</v>
      </c>
      <c r="D20" s="7" t="s">
        <v>863</v>
      </c>
      <c r="E20" s="7" t="s">
        <v>2882</v>
      </c>
      <c r="F20" s="7" t="s">
        <v>2883</v>
      </c>
      <c r="G20" s="7" t="s">
        <v>187</v>
      </c>
      <c r="H20" s="7" t="s">
        <v>2884</v>
      </c>
      <c r="I20" s="7" t="s">
        <v>187</v>
      </c>
      <c r="J20" s="7" t="s">
        <v>80</v>
      </c>
      <c r="K20" s="7" t="s">
        <v>2885</v>
      </c>
      <c r="L20" s="7" t="s">
        <v>2886</v>
      </c>
      <c r="M20" s="7" t="s">
        <v>105</v>
      </c>
      <c r="N20" s="7" t="s">
        <v>2887</v>
      </c>
    </row>
    <row r="21" spans="1:14" ht="70" x14ac:dyDescent="0.2">
      <c r="A21" s="7" t="s">
        <v>287</v>
      </c>
      <c r="B21" s="7" t="s">
        <v>1025</v>
      </c>
      <c r="C21" s="7" t="s">
        <v>74</v>
      </c>
      <c r="D21" s="7" t="s">
        <v>2544</v>
      </c>
      <c r="E21" s="7" t="s">
        <v>1029</v>
      </c>
      <c r="F21" s="7" t="s">
        <v>2888</v>
      </c>
      <c r="G21" s="7" t="s">
        <v>187</v>
      </c>
      <c r="H21" s="7" t="s">
        <v>2889</v>
      </c>
      <c r="I21" s="7" t="s">
        <v>2890</v>
      </c>
      <c r="J21" s="7" t="s">
        <v>77</v>
      </c>
      <c r="K21" s="7" t="s">
        <v>2891</v>
      </c>
      <c r="L21" s="7" t="s">
        <v>2892</v>
      </c>
      <c r="M21" s="7" t="s">
        <v>105</v>
      </c>
      <c r="N21" s="7"/>
    </row>
    <row r="22" spans="1:14" ht="28" x14ac:dyDescent="0.2">
      <c r="A22" s="7" t="s">
        <v>287</v>
      </c>
      <c r="B22" s="7" t="s">
        <v>1034</v>
      </c>
      <c r="C22" s="7" t="s">
        <v>80</v>
      </c>
      <c r="D22" s="7" t="s">
        <v>850</v>
      </c>
      <c r="E22" s="7" t="s">
        <v>1232</v>
      </c>
      <c r="F22" s="7" t="s">
        <v>1232</v>
      </c>
      <c r="G22" s="7" t="s">
        <v>1232</v>
      </c>
      <c r="H22" s="7" t="s">
        <v>1232</v>
      </c>
      <c r="I22" s="7" t="s">
        <v>1232</v>
      </c>
      <c r="J22" s="7" t="s">
        <v>77</v>
      </c>
      <c r="K22" s="7" t="s">
        <v>2893</v>
      </c>
      <c r="L22" s="7" t="s">
        <v>924</v>
      </c>
      <c r="M22" s="7" t="s">
        <v>105</v>
      </c>
      <c r="N22" s="7"/>
    </row>
    <row r="23" spans="1:14" ht="42" x14ac:dyDescent="0.2">
      <c r="A23" s="7" t="s">
        <v>303</v>
      </c>
      <c r="B23" s="7" t="s">
        <v>1042</v>
      </c>
      <c r="C23" s="7" t="s">
        <v>74</v>
      </c>
      <c r="D23" s="7" t="s">
        <v>312</v>
      </c>
      <c r="E23" s="7" t="s">
        <v>2894</v>
      </c>
      <c r="F23" s="7" t="s">
        <v>187</v>
      </c>
      <c r="G23" s="7" t="s">
        <v>187</v>
      </c>
      <c r="H23" s="7" t="s">
        <v>2895</v>
      </c>
      <c r="I23" s="7" t="s">
        <v>187</v>
      </c>
      <c r="J23" s="7" t="s">
        <v>77</v>
      </c>
      <c r="K23" s="7" t="s">
        <v>2896</v>
      </c>
      <c r="L23" s="7" t="s">
        <v>2892</v>
      </c>
      <c r="M23" s="7" t="s">
        <v>105</v>
      </c>
      <c r="N23" s="7" t="s">
        <v>2897</v>
      </c>
    </row>
    <row r="24" spans="1:14" ht="56" x14ac:dyDescent="0.2">
      <c r="A24" s="7" t="s">
        <v>303</v>
      </c>
      <c r="B24" s="7" t="s">
        <v>1049</v>
      </c>
      <c r="C24" s="7" t="s">
        <v>74</v>
      </c>
      <c r="D24" s="7" t="s">
        <v>1052</v>
      </c>
      <c r="E24" s="7" t="s">
        <v>1044</v>
      </c>
      <c r="F24" s="7" t="s">
        <v>187</v>
      </c>
      <c r="G24" s="7" t="s">
        <v>187</v>
      </c>
      <c r="H24" s="7" t="s">
        <v>2895</v>
      </c>
      <c r="I24" s="7" t="s">
        <v>187</v>
      </c>
      <c r="J24" s="7" t="s">
        <v>77</v>
      </c>
      <c r="K24" s="7" t="s">
        <v>2898</v>
      </c>
      <c r="L24" s="7" t="s">
        <v>924</v>
      </c>
      <c r="M24" s="7" t="s">
        <v>105</v>
      </c>
      <c r="N24" s="7" t="s">
        <v>2899</v>
      </c>
    </row>
    <row r="25" spans="1:14" ht="56" x14ac:dyDescent="0.2">
      <c r="A25" s="7" t="s">
        <v>318</v>
      </c>
      <c r="B25" s="7" t="s">
        <v>2522</v>
      </c>
      <c r="C25" s="7" t="s">
        <v>139</v>
      </c>
      <c r="D25" s="7" t="s">
        <v>1060</v>
      </c>
      <c r="E25" s="7" t="s">
        <v>2900</v>
      </c>
      <c r="F25" s="7" t="s">
        <v>2901</v>
      </c>
      <c r="G25" s="7" t="s">
        <v>2902</v>
      </c>
      <c r="H25" s="7" t="s">
        <v>2903</v>
      </c>
      <c r="I25" s="7" t="s">
        <v>2904</v>
      </c>
      <c r="J25" s="7" t="s">
        <v>80</v>
      </c>
      <c r="K25" s="7" t="s">
        <v>2905</v>
      </c>
      <c r="L25" s="7" t="s">
        <v>1870</v>
      </c>
      <c r="M25" s="7" t="s">
        <v>105</v>
      </c>
      <c r="N25" s="7" t="s">
        <v>2906</v>
      </c>
    </row>
    <row r="26" spans="1:14" ht="84" x14ac:dyDescent="0.2">
      <c r="A26" s="7" t="s">
        <v>335</v>
      </c>
      <c r="B26" s="7" t="s">
        <v>2522</v>
      </c>
      <c r="C26" s="7" t="s">
        <v>187</v>
      </c>
      <c r="D26" s="7" t="s">
        <v>187</v>
      </c>
      <c r="E26" s="7" t="s">
        <v>187</v>
      </c>
      <c r="F26" s="7" t="s">
        <v>187</v>
      </c>
      <c r="G26" s="7" t="s">
        <v>187</v>
      </c>
      <c r="H26" s="7" t="s">
        <v>187</v>
      </c>
      <c r="I26" s="7" t="s">
        <v>187</v>
      </c>
      <c r="J26" s="7" t="s">
        <v>80</v>
      </c>
      <c r="K26" s="7"/>
      <c r="L26" s="7"/>
      <c r="M26" s="7" t="s">
        <v>105</v>
      </c>
      <c r="N26" s="7" t="s">
        <v>2907</v>
      </c>
    </row>
    <row r="27" spans="1:14" ht="70" x14ac:dyDescent="0.2">
      <c r="A27" s="7" t="s">
        <v>353</v>
      </c>
      <c r="B27" s="7" t="s">
        <v>1090</v>
      </c>
      <c r="C27" s="7" t="s">
        <v>139</v>
      </c>
      <c r="D27" s="7" t="s">
        <v>863</v>
      </c>
      <c r="E27" s="7" t="s">
        <v>2828</v>
      </c>
      <c r="F27" s="7" t="s">
        <v>2908</v>
      </c>
      <c r="G27" s="7" t="s">
        <v>2909</v>
      </c>
      <c r="H27" s="7" t="s">
        <v>2910</v>
      </c>
      <c r="I27" s="7" t="s">
        <v>2911</v>
      </c>
      <c r="J27" s="7" t="s">
        <v>77</v>
      </c>
      <c r="K27" s="7" t="s">
        <v>2912</v>
      </c>
      <c r="L27" s="7" t="s">
        <v>2913</v>
      </c>
      <c r="M27" s="7" t="s">
        <v>105</v>
      </c>
      <c r="N27" s="7"/>
    </row>
    <row r="28" spans="1:14" ht="42" x14ac:dyDescent="0.2">
      <c r="A28" s="7" t="s">
        <v>353</v>
      </c>
      <c r="B28" s="7" t="s">
        <v>1078</v>
      </c>
      <c r="C28" s="7" t="s">
        <v>80</v>
      </c>
      <c r="D28" s="7" t="s">
        <v>850</v>
      </c>
      <c r="E28" s="7" t="s">
        <v>2914</v>
      </c>
      <c r="F28" s="7" t="s">
        <v>2915</v>
      </c>
      <c r="G28" s="7" t="s">
        <v>1232</v>
      </c>
      <c r="H28" s="7" t="s">
        <v>2916</v>
      </c>
      <c r="I28" s="7" t="s">
        <v>1232</v>
      </c>
      <c r="J28" s="7" t="s">
        <v>77</v>
      </c>
      <c r="K28" s="7" t="s">
        <v>2917</v>
      </c>
      <c r="L28" s="7" t="s">
        <v>2913</v>
      </c>
      <c r="M28" s="7" t="s">
        <v>105</v>
      </c>
      <c r="N28" s="7" t="s">
        <v>2918</v>
      </c>
    </row>
    <row r="29" spans="1:14" ht="56" x14ac:dyDescent="0.2">
      <c r="A29" s="7" t="s">
        <v>372</v>
      </c>
      <c r="B29" s="7" t="s">
        <v>1100</v>
      </c>
      <c r="C29" s="7" t="s">
        <v>139</v>
      </c>
      <c r="D29" s="7" t="s">
        <v>863</v>
      </c>
      <c r="E29" s="7" t="s">
        <v>2828</v>
      </c>
      <c r="F29" s="7" t="s">
        <v>2919</v>
      </c>
      <c r="G29" s="7" t="s">
        <v>2920</v>
      </c>
      <c r="H29" s="7" t="s">
        <v>2921</v>
      </c>
      <c r="I29" s="7" t="s">
        <v>2922</v>
      </c>
      <c r="J29" s="7" t="s">
        <v>77</v>
      </c>
      <c r="K29" s="7" t="s">
        <v>2923</v>
      </c>
      <c r="L29" s="7" t="s">
        <v>2627</v>
      </c>
      <c r="M29" s="7" t="s">
        <v>105</v>
      </c>
      <c r="N29" s="7" t="s">
        <v>2924</v>
      </c>
    </row>
    <row r="30" spans="1:14" ht="42" x14ac:dyDescent="0.2">
      <c r="A30" s="7" t="s">
        <v>372</v>
      </c>
      <c r="B30" s="7" t="s">
        <v>1110</v>
      </c>
      <c r="C30" s="7" t="s">
        <v>80</v>
      </c>
      <c r="D30" s="7" t="s">
        <v>187</v>
      </c>
      <c r="E30" s="7" t="s">
        <v>1232</v>
      </c>
      <c r="F30" s="7" t="s">
        <v>1232</v>
      </c>
      <c r="G30" s="7" t="s">
        <v>1232</v>
      </c>
      <c r="H30" s="7" t="s">
        <v>2925</v>
      </c>
      <c r="I30" s="7" t="s">
        <v>1232</v>
      </c>
      <c r="J30" s="7" t="s">
        <v>77</v>
      </c>
      <c r="K30" s="7" t="s">
        <v>2926</v>
      </c>
      <c r="L30" s="7" t="s">
        <v>2927</v>
      </c>
      <c r="M30" s="7" t="s">
        <v>105</v>
      </c>
      <c r="N30" s="7" t="s">
        <v>2928</v>
      </c>
    </row>
    <row r="31" spans="1:14" ht="70" x14ac:dyDescent="0.2">
      <c r="A31" s="7" t="s">
        <v>386</v>
      </c>
      <c r="B31" s="7" t="s">
        <v>1119</v>
      </c>
      <c r="C31" s="7" t="s">
        <v>74</v>
      </c>
      <c r="D31" s="7" t="s">
        <v>187</v>
      </c>
      <c r="E31" s="7" t="s">
        <v>2929</v>
      </c>
      <c r="F31" s="7" t="s">
        <v>2930</v>
      </c>
      <c r="G31" s="7" t="s">
        <v>187</v>
      </c>
      <c r="H31" s="7" t="s">
        <v>2931</v>
      </c>
      <c r="I31" s="7" t="s">
        <v>1707</v>
      </c>
      <c r="J31" s="7" t="s">
        <v>77</v>
      </c>
      <c r="K31" s="7" t="s">
        <v>2932</v>
      </c>
      <c r="L31" s="7" t="s">
        <v>1783</v>
      </c>
      <c r="M31" s="7" t="s">
        <v>105</v>
      </c>
      <c r="N31" s="7" t="s">
        <v>2933</v>
      </c>
    </row>
    <row r="32" spans="1:14" ht="70" x14ac:dyDescent="0.2">
      <c r="A32" s="7" t="s">
        <v>400</v>
      </c>
      <c r="B32" s="7" t="s">
        <v>1132</v>
      </c>
      <c r="C32" s="7" t="s">
        <v>139</v>
      </c>
      <c r="D32" s="7" t="s">
        <v>863</v>
      </c>
      <c r="E32" s="7" t="s">
        <v>2828</v>
      </c>
      <c r="F32" s="7" t="s">
        <v>2934</v>
      </c>
      <c r="G32" s="7" t="s">
        <v>843</v>
      </c>
      <c r="H32" s="7" t="s">
        <v>2935</v>
      </c>
      <c r="I32" s="7" t="s">
        <v>2936</v>
      </c>
      <c r="J32" s="7" t="s">
        <v>77</v>
      </c>
      <c r="K32" s="7" t="s">
        <v>2937</v>
      </c>
      <c r="L32" s="7" t="s">
        <v>2938</v>
      </c>
      <c r="M32" s="7" t="s">
        <v>105</v>
      </c>
      <c r="N32" s="7"/>
    </row>
    <row r="33" spans="1:14" ht="42" x14ac:dyDescent="0.2">
      <c r="A33" s="7" t="s">
        <v>400</v>
      </c>
      <c r="B33" s="7" t="s">
        <v>1144</v>
      </c>
      <c r="C33" s="7" t="s">
        <v>139</v>
      </c>
      <c r="D33" s="7" t="s">
        <v>863</v>
      </c>
      <c r="E33" s="7" t="s">
        <v>2828</v>
      </c>
      <c r="F33" s="7" t="s">
        <v>2939</v>
      </c>
      <c r="G33" s="7" t="s">
        <v>843</v>
      </c>
      <c r="H33" s="7" t="s">
        <v>2935</v>
      </c>
      <c r="I33" s="7" t="s">
        <v>2936</v>
      </c>
      <c r="J33" s="7" t="s">
        <v>77</v>
      </c>
      <c r="K33" s="7" t="s">
        <v>2940</v>
      </c>
      <c r="L33" s="7" t="s">
        <v>2938</v>
      </c>
      <c r="M33" s="7" t="s">
        <v>105</v>
      </c>
      <c r="N33" s="7"/>
    </row>
    <row r="34" spans="1:14" ht="56" x14ac:dyDescent="0.2">
      <c r="A34" s="7" t="s">
        <v>414</v>
      </c>
      <c r="B34" s="7" t="s">
        <v>1156</v>
      </c>
      <c r="C34" s="7" t="s">
        <v>139</v>
      </c>
      <c r="D34" s="7" t="s">
        <v>1159</v>
      </c>
      <c r="E34" s="7" t="s">
        <v>2941</v>
      </c>
      <c r="F34" s="7" t="s">
        <v>2942</v>
      </c>
      <c r="G34" s="7" t="s">
        <v>187</v>
      </c>
      <c r="H34" s="7" t="s">
        <v>2943</v>
      </c>
      <c r="I34" s="7" t="s">
        <v>1707</v>
      </c>
      <c r="J34" s="7" t="s">
        <v>77</v>
      </c>
      <c r="K34" s="7" t="s">
        <v>2944</v>
      </c>
      <c r="L34" s="7" t="s">
        <v>2203</v>
      </c>
      <c r="M34" s="7" t="s">
        <v>105</v>
      </c>
      <c r="N34" s="7" t="s">
        <v>2945</v>
      </c>
    </row>
    <row r="35" spans="1:14" ht="42" x14ac:dyDescent="0.2">
      <c r="A35" s="7" t="s">
        <v>429</v>
      </c>
      <c r="B35" s="7" t="s">
        <v>2946</v>
      </c>
      <c r="C35" s="7" t="s">
        <v>74</v>
      </c>
      <c r="D35" s="7" t="s">
        <v>187</v>
      </c>
      <c r="E35" s="7" t="s">
        <v>2947</v>
      </c>
      <c r="F35" s="7" t="s">
        <v>2948</v>
      </c>
      <c r="G35" s="7" t="s">
        <v>187</v>
      </c>
      <c r="H35" s="7" t="s">
        <v>2949</v>
      </c>
      <c r="I35" s="7" t="s">
        <v>1707</v>
      </c>
      <c r="J35" s="7" t="s">
        <v>80</v>
      </c>
      <c r="K35" s="7" t="s">
        <v>2950</v>
      </c>
      <c r="L35" s="7" t="s">
        <v>2951</v>
      </c>
      <c r="M35" s="7" t="s">
        <v>105</v>
      </c>
      <c r="N35" s="7" t="s">
        <v>2952</v>
      </c>
    </row>
    <row r="36" spans="1:14" ht="42" x14ac:dyDescent="0.2">
      <c r="A36" s="7" t="s">
        <v>442</v>
      </c>
      <c r="B36" s="7" t="s">
        <v>2522</v>
      </c>
      <c r="C36" s="7" t="s">
        <v>187</v>
      </c>
      <c r="D36" s="7" t="s">
        <v>863</v>
      </c>
      <c r="E36" s="7" t="s">
        <v>2953</v>
      </c>
      <c r="F36" s="7" t="s">
        <v>2954</v>
      </c>
      <c r="G36" s="7" t="s">
        <v>187</v>
      </c>
      <c r="H36" s="7" t="s">
        <v>2955</v>
      </c>
      <c r="I36" s="7" t="s">
        <v>2956</v>
      </c>
      <c r="J36" s="7" t="s">
        <v>80</v>
      </c>
      <c r="K36" s="7" t="s">
        <v>2957</v>
      </c>
      <c r="L36" s="7" t="s">
        <v>1234</v>
      </c>
      <c r="M36" s="7" t="s">
        <v>105</v>
      </c>
      <c r="N36" s="7" t="s">
        <v>2958</v>
      </c>
    </row>
    <row r="37" spans="1:14" ht="70" x14ac:dyDescent="0.2">
      <c r="A37" s="7" t="s">
        <v>456</v>
      </c>
      <c r="B37" s="7" t="s">
        <v>1214</v>
      </c>
      <c r="C37" s="7" t="s">
        <v>74</v>
      </c>
      <c r="D37" s="7" t="s">
        <v>869</v>
      </c>
      <c r="E37" s="7" t="s">
        <v>2959</v>
      </c>
      <c r="F37" s="7" t="s">
        <v>2960</v>
      </c>
      <c r="G37" s="7" t="s">
        <v>2961</v>
      </c>
      <c r="H37" s="7" t="s">
        <v>2962</v>
      </c>
      <c r="I37" s="7" t="s">
        <v>2963</v>
      </c>
      <c r="J37" s="7" t="s">
        <v>80</v>
      </c>
      <c r="K37" s="7" t="s">
        <v>2964</v>
      </c>
      <c r="L37" s="7" t="s">
        <v>1670</v>
      </c>
      <c r="M37" s="7" t="s">
        <v>105</v>
      </c>
      <c r="N37" s="7" t="s">
        <v>2965</v>
      </c>
    </row>
    <row r="38" spans="1:14" ht="28" x14ac:dyDescent="0.2">
      <c r="A38" s="7" t="s">
        <v>472</v>
      </c>
      <c r="B38" s="7" t="s">
        <v>2966</v>
      </c>
      <c r="C38" s="7" t="s">
        <v>74</v>
      </c>
      <c r="D38" s="7" t="s">
        <v>2967</v>
      </c>
      <c r="E38" s="7" t="s">
        <v>2968</v>
      </c>
      <c r="F38" s="7" t="s">
        <v>187</v>
      </c>
      <c r="G38" s="7" t="s">
        <v>187</v>
      </c>
      <c r="H38" s="7" t="s">
        <v>2969</v>
      </c>
      <c r="I38" s="7" t="s">
        <v>2970</v>
      </c>
      <c r="J38" s="7" t="s">
        <v>77</v>
      </c>
      <c r="K38" s="7" t="s">
        <v>2971</v>
      </c>
      <c r="L38" s="7" t="s">
        <v>2972</v>
      </c>
      <c r="M38" s="7" t="s">
        <v>105</v>
      </c>
      <c r="N38" s="7" t="s">
        <v>2973</v>
      </c>
    </row>
    <row r="39" spans="1:14" ht="84" x14ac:dyDescent="0.2">
      <c r="A39" s="7" t="s">
        <v>486</v>
      </c>
      <c r="B39" s="7" t="s">
        <v>2974</v>
      </c>
      <c r="C39" s="7" t="s">
        <v>74</v>
      </c>
      <c r="D39" s="7" t="s">
        <v>187</v>
      </c>
      <c r="E39" s="7" t="s">
        <v>2975</v>
      </c>
      <c r="F39" s="7" t="s">
        <v>2976</v>
      </c>
      <c r="G39" s="7" t="s">
        <v>187</v>
      </c>
      <c r="H39" s="7" t="s">
        <v>2969</v>
      </c>
      <c r="I39" s="7" t="s">
        <v>2922</v>
      </c>
      <c r="J39" s="7" t="s">
        <v>77</v>
      </c>
      <c r="K39" s="7" t="s">
        <v>2977</v>
      </c>
      <c r="L39" s="7" t="s">
        <v>2714</v>
      </c>
      <c r="M39" s="7" t="s">
        <v>105</v>
      </c>
      <c r="N39" s="7" t="s">
        <v>2978</v>
      </c>
    </row>
    <row r="40" spans="1:14" ht="70" x14ac:dyDescent="0.2">
      <c r="A40" s="7" t="s">
        <v>501</v>
      </c>
      <c r="B40" s="7" t="s">
        <v>1235</v>
      </c>
      <c r="C40" s="7" t="s">
        <v>139</v>
      </c>
      <c r="D40" s="7" t="s">
        <v>1256</v>
      </c>
      <c r="E40" s="7" t="s">
        <v>2979</v>
      </c>
      <c r="F40" s="7" t="s">
        <v>2980</v>
      </c>
      <c r="G40" s="7" t="s">
        <v>187</v>
      </c>
      <c r="H40" s="7" t="s">
        <v>2981</v>
      </c>
      <c r="I40" s="7" t="s">
        <v>2922</v>
      </c>
      <c r="J40" s="7" t="s">
        <v>77</v>
      </c>
      <c r="K40" s="7" t="s">
        <v>2982</v>
      </c>
      <c r="L40" s="7" t="s">
        <v>2714</v>
      </c>
      <c r="M40" s="7" t="s">
        <v>105</v>
      </c>
      <c r="N40" s="7" t="s">
        <v>2983</v>
      </c>
    </row>
    <row r="41" spans="1:14" ht="70" x14ac:dyDescent="0.2">
      <c r="A41" s="7" t="s">
        <v>501</v>
      </c>
      <c r="B41" s="7" t="s">
        <v>1244</v>
      </c>
      <c r="C41" s="7" t="s">
        <v>139</v>
      </c>
      <c r="D41" s="7" t="s">
        <v>1264</v>
      </c>
      <c r="E41" s="7" t="s">
        <v>2979</v>
      </c>
      <c r="F41" s="7" t="s">
        <v>2984</v>
      </c>
      <c r="G41" s="7" t="s">
        <v>187</v>
      </c>
      <c r="H41" s="7" t="s">
        <v>2969</v>
      </c>
      <c r="I41" s="7" t="s">
        <v>2922</v>
      </c>
      <c r="J41" s="7" t="s">
        <v>77</v>
      </c>
      <c r="K41" s="7" t="s">
        <v>2985</v>
      </c>
      <c r="L41" s="7" t="s">
        <v>924</v>
      </c>
      <c r="M41" s="7" t="s">
        <v>105</v>
      </c>
      <c r="N41" s="7" t="s">
        <v>2986</v>
      </c>
    </row>
    <row r="42" spans="1:14" ht="56" x14ac:dyDescent="0.2">
      <c r="A42" s="7" t="s">
        <v>516</v>
      </c>
      <c r="B42" s="7" t="s">
        <v>2522</v>
      </c>
      <c r="C42" s="7" t="s">
        <v>74</v>
      </c>
      <c r="D42" s="7" t="s">
        <v>1275</v>
      </c>
      <c r="E42" s="7" t="s">
        <v>2987</v>
      </c>
      <c r="F42" s="7" t="s">
        <v>187</v>
      </c>
      <c r="G42" s="7" t="s">
        <v>2988</v>
      </c>
      <c r="H42" s="7" t="s">
        <v>2989</v>
      </c>
      <c r="I42" s="7" t="s">
        <v>2990</v>
      </c>
      <c r="J42" s="7" t="s">
        <v>80</v>
      </c>
      <c r="K42" s="7" t="s">
        <v>2991</v>
      </c>
      <c r="L42" s="7" t="s">
        <v>2195</v>
      </c>
      <c r="M42" s="7" t="s">
        <v>105</v>
      </c>
      <c r="N42" s="7" t="s">
        <v>2992</v>
      </c>
    </row>
    <row r="43" spans="1:14" ht="42" x14ac:dyDescent="0.2">
      <c r="A43" s="7" t="s">
        <v>532</v>
      </c>
      <c r="B43" s="7" t="s">
        <v>2522</v>
      </c>
      <c r="C43" s="7" t="s">
        <v>74</v>
      </c>
      <c r="D43" s="7" t="s">
        <v>894</v>
      </c>
      <c r="E43" s="7" t="s">
        <v>2828</v>
      </c>
      <c r="F43" s="7" t="s">
        <v>187</v>
      </c>
      <c r="G43" s="7" t="s">
        <v>187</v>
      </c>
      <c r="H43" s="7" t="s">
        <v>2993</v>
      </c>
      <c r="I43" s="7" t="s">
        <v>2994</v>
      </c>
      <c r="J43" s="7" t="s">
        <v>80</v>
      </c>
      <c r="K43" s="7" t="s">
        <v>2995</v>
      </c>
      <c r="L43" s="7" t="s">
        <v>2200</v>
      </c>
      <c r="M43" s="7" t="s">
        <v>105</v>
      </c>
      <c r="N43" s="7" t="s">
        <v>2996</v>
      </c>
    </row>
    <row r="44" spans="1:14" ht="56" x14ac:dyDescent="0.2">
      <c r="A44" s="7" t="s">
        <v>548</v>
      </c>
      <c r="B44" s="7" t="s">
        <v>2522</v>
      </c>
      <c r="C44" s="7" t="s">
        <v>139</v>
      </c>
      <c r="D44" s="7" t="s">
        <v>2997</v>
      </c>
      <c r="E44" s="7" t="s">
        <v>2998</v>
      </c>
      <c r="F44" s="7" t="s">
        <v>2999</v>
      </c>
      <c r="G44" s="7" t="s">
        <v>187</v>
      </c>
      <c r="H44" s="7" t="s">
        <v>3000</v>
      </c>
      <c r="I44" s="7" t="s">
        <v>2227</v>
      </c>
      <c r="J44" s="7" t="s">
        <v>3001</v>
      </c>
      <c r="K44" s="7" t="s">
        <v>3002</v>
      </c>
      <c r="L44" s="7" t="s">
        <v>3003</v>
      </c>
      <c r="M44" s="7" t="s">
        <v>105</v>
      </c>
      <c r="N44" s="7" t="s">
        <v>3004</v>
      </c>
    </row>
    <row r="45" spans="1:14" ht="98" x14ac:dyDescent="0.2">
      <c r="A45" s="7" t="s">
        <v>563</v>
      </c>
      <c r="B45" s="7" t="s">
        <v>2522</v>
      </c>
      <c r="C45" s="7" t="s">
        <v>139</v>
      </c>
      <c r="D45" s="7" t="s">
        <v>1309</v>
      </c>
      <c r="E45" s="7" t="s">
        <v>3005</v>
      </c>
      <c r="F45" s="7" t="s">
        <v>3006</v>
      </c>
      <c r="G45" s="7" t="s">
        <v>1308</v>
      </c>
      <c r="H45" s="7" t="s">
        <v>3007</v>
      </c>
      <c r="I45" s="7" t="s">
        <v>3008</v>
      </c>
      <c r="J45" s="7" t="s">
        <v>3009</v>
      </c>
      <c r="K45" s="7" t="s">
        <v>3010</v>
      </c>
      <c r="L45" s="7" t="s">
        <v>3011</v>
      </c>
      <c r="M45" s="7" t="s">
        <v>105</v>
      </c>
      <c r="N45" s="7" t="s">
        <v>3012</v>
      </c>
    </row>
    <row r="46" spans="1:14" ht="28" x14ac:dyDescent="0.2">
      <c r="A46" s="7" t="s">
        <v>578</v>
      </c>
      <c r="B46" s="7" t="s">
        <v>3013</v>
      </c>
      <c r="C46" s="7" t="s">
        <v>139</v>
      </c>
      <c r="D46" s="7" t="s">
        <v>1592</v>
      </c>
      <c r="E46" s="7" t="s">
        <v>1322</v>
      </c>
      <c r="F46" s="7" t="s">
        <v>187</v>
      </c>
      <c r="G46" s="7" t="s">
        <v>187</v>
      </c>
      <c r="H46" s="7" t="s">
        <v>3014</v>
      </c>
      <c r="I46" s="7" t="s">
        <v>3015</v>
      </c>
      <c r="J46" s="7" t="s">
        <v>77</v>
      </c>
      <c r="K46" s="7" t="s">
        <v>3016</v>
      </c>
      <c r="L46" s="7" t="s">
        <v>924</v>
      </c>
      <c r="M46" s="7" t="s">
        <v>105</v>
      </c>
      <c r="N46" s="7" t="s">
        <v>3017</v>
      </c>
    </row>
    <row r="47" spans="1:14" ht="42" x14ac:dyDescent="0.2">
      <c r="A47" s="7" t="s">
        <v>593</v>
      </c>
      <c r="B47" s="7" t="s">
        <v>2522</v>
      </c>
      <c r="C47" s="7" t="s">
        <v>187</v>
      </c>
      <c r="D47" s="7" t="s">
        <v>187</v>
      </c>
      <c r="E47" s="7" t="s">
        <v>187</v>
      </c>
      <c r="F47" s="7" t="s">
        <v>187</v>
      </c>
      <c r="G47" s="7" t="s">
        <v>187</v>
      </c>
      <c r="H47" s="7" t="s">
        <v>3018</v>
      </c>
      <c r="I47" s="7" t="s">
        <v>187</v>
      </c>
      <c r="J47" s="7" t="s">
        <v>80</v>
      </c>
      <c r="K47" s="7" t="s">
        <v>3019</v>
      </c>
      <c r="L47" s="7" t="s">
        <v>2676</v>
      </c>
      <c r="M47" s="7" t="s">
        <v>105</v>
      </c>
      <c r="N47" s="7" t="s">
        <v>3020</v>
      </c>
    </row>
    <row r="48" spans="1:14" ht="42" x14ac:dyDescent="0.2">
      <c r="A48" s="7" t="s">
        <v>607</v>
      </c>
      <c r="B48" s="7" t="s">
        <v>1389</v>
      </c>
      <c r="C48" s="7" t="s">
        <v>139</v>
      </c>
      <c r="D48" s="7" t="s">
        <v>863</v>
      </c>
      <c r="E48" s="7" t="s">
        <v>3021</v>
      </c>
      <c r="F48" s="7" t="s">
        <v>3022</v>
      </c>
      <c r="G48" s="7" t="s">
        <v>843</v>
      </c>
      <c r="H48" s="7" t="s">
        <v>3023</v>
      </c>
      <c r="I48" s="7" t="s">
        <v>3024</v>
      </c>
      <c r="J48" s="7" t="s">
        <v>77</v>
      </c>
      <c r="K48" s="7" t="s">
        <v>3025</v>
      </c>
      <c r="L48" s="7" t="s">
        <v>2627</v>
      </c>
      <c r="M48" s="7" t="s">
        <v>105</v>
      </c>
      <c r="N48" s="7" t="s">
        <v>3026</v>
      </c>
    </row>
    <row r="49" spans="1:14" ht="42" x14ac:dyDescent="0.2">
      <c r="A49" s="7" t="s">
        <v>607</v>
      </c>
      <c r="B49" s="7" t="s">
        <v>1378</v>
      </c>
      <c r="C49" s="7" t="s">
        <v>80</v>
      </c>
      <c r="D49" s="7" t="s">
        <v>850</v>
      </c>
      <c r="E49" s="7" t="s">
        <v>3027</v>
      </c>
      <c r="F49" s="7" t="s">
        <v>1232</v>
      </c>
      <c r="G49" s="7" t="s">
        <v>1232</v>
      </c>
      <c r="H49" s="7" t="s">
        <v>1232</v>
      </c>
      <c r="I49" s="7" t="s">
        <v>1232</v>
      </c>
      <c r="J49" s="7" t="s">
        <v>77</v>
      </c>
      <c r="K49" s="7" t="s">
        <v>3028</v>
      </c>
      <c r="L49" s="7" t="s">
        <v>3029</v>
      </c>
      <c r="M49" s="7" t="s">
        <v>105</v>
      </c>
      <c r="N49" s="7" t="s">
        <v>3030</v>
      </c>
    </row>
    <row r="50" spans="1:14" ht="84" x14ac:dyDescent="0.2">
      <c r="A50" s="7" t="s">
        <v>622</v>
      </c>
      <c r="B50" s="7" t="s">
        <v>2522</v>
      </c>
      <c r="C50" s="7" t="s">
        <v>187</v>
      </c>
      <c r="D50" s="7" t="s">
        <v>187</v>
      </c>
      <c r="E50" s="7" t="s">
        <v>3021</v>
      </c>
      <c r="F50" s="7" t="s">
        <v>3031</v>
      </c>
      <c r="G50" s="7" t="s">
        <v>187</v>
      </c>
      <c r="H50" s="7" t="s">
        <v>3032</v>
      </c>
      <c r="I50" s="7" t="s">
        <v>187</v>
      </c>
      <c r="J50" s="7" t="s">
        <v>80</v>
      </c>
      <c r="K50" s="7" t="s">
        <v>3033</v>
      </c>
      <c r="L50" s="7" t="s">
        <v>1700</v>
      </c>
      <c r="M50" s="7" t="s">
        <v>105</v>
      </c>
      <c r="N50" s="7" t="s">
        <v>3034</v>
      </c>
    </row>
    <row r="51" spans="1:14" ht="42" x14ac:dyDescent="0.2">
      <c r="A51" s="7" t="s">
        <v>638</v>
      </c>
      <c r="B51" s="7" t="s">
        <v>1405</v>
      </c>
      <c r="C51" s="7" t="s">
        <v>74</v>
      </c>
      <c r="D51" s="7" t="s">
        <v>1409</v>
      </c>
      <c r="E51" s="7" t="s">
        <v>3035</v>
      </c>
      <c r="F51" s="7" t="s">
        <v>3036</v>
      </c>
      <c r="G51" s="7" t="s">
        <v>187</v>
      </c>
      <c r="H51" s="7" t="s">
        <v>3037</v>
      </c>
      <c r="I51" s="7" t="s">
        <v>3038</v>
      </c>
      <c r="J51" s="7" t="s">
        <v>77</v>
      </c>
      <c r="K51" s="7" t="s">
        <v>3039</v>
      </c>
      <c r="L51" s="7" t="s">
        <v>924</v>
      </c>
      <c r="M51" s="7" t="s">
        <v>105</v>
      </c>
      <c r="N51" s="7" t="s">
        <v>3040</v>
      </c>
    </row>
    <row r="52" spans="1:14" ht="28" x14ac:dyDescent="0.2">
      <c r="A52" s="7" t="s">
        <v>638</v>
      </c>
      <c r="B52" s="7" t="s">
        <v>1416</v>
      </c>
      <c r="C52" s="7" t="s">
        <v>74</v>
      </c>
      <c r="D52" s="7" t="s">
        <v>1420</v>
      </c>
      <c r="E52" s="7" t="s">
        <v>3035</v>
      </c>
      <c r="F52" s="7" t="s">
        <v>3036</v>
      </c>
      <c r="G52" s="7" t="s">
        <v>187</v>
      </c>
      <c r="H52" s="7" t="s">
        <v>3037</v>
      </c>
      <c r="I52" s="7" t="s">
        <v>3038</v>
      </c>
      <c r="J52" s="7" t="s">
        <v>77</v>
      </c>
      <c r="K52" s="7" t="s">
        <v>3039</v>
      </c>
      <c r="L52" s="7" t="s">
        <v>924</v>
      </c>
      <c r="M52" s="7" t="s">
        <v>105</v>
      </c>
      <c r="N52" s="7"/>
    </row>
    <row r="53" spans="1:14" ht="28" x14ac:dyDescent="0.2">
      <c r="A53" s="7" t="s">
        <v>654</v>
      </c>
      <c r="B53" s="7" t="s">
        <v>1426</v>
      </c>
      <c r="C53" s="7" t="s">
        <v>139</v>
      </c>
      <c r="D53" s="7" t="s">
        <v>1429</v>
      </c>
      <c r="E53" s="7" t="s">
        <v>3035</v>
      </c>
      <c r="F53" s="7" t="s">
        <v>3036</v>
      </c>
      <c r="G53" s="7" t="s">
        <v>187</v>
      </c>
      <c r="H53" s="7" t="s">
        <v>3037</v>
      </c>
      <c r="I53" s="7" t="s">
        <v>3038</v>
      </c>
      <c r="J53" s="7" t="s">
        <v>77</v>
      </c>
      <c r="K53" s="7" t="s">
        <v>3041</v>
      </c>
      <c r="L53" s="7" t="s">
        <v>924</v>
      </c>
      <c r="M53" s="7" t="s">
        <v>105</v>
      </c>
      <c r="N53" s="7"/>
    </row>
    <row r="54" spans="1:14" ht="28" x14ac:dyDescent="0.2">
      <c r="A54" s="7" t="s">
        <v>654</v>
      </c>
      <c r="B54" s="7" t="s">
        <v>1435</v>
      </c>
      <c r="C54" s="7" t="s">
        <v>139</v>
      </c>
      <c r="D54" s="7" t="s">
        <v>1403</v>
      </c>
      <c r="E54" s="7" t="s">
        <v>3035</v>
      </c>
      <c r="F54" s="7" t="s">
        <v>3036</v>
      </c>
      <c r="G54" s="7" t="s">
        <v>187</v>
      </c>
      <c r="H54" s="7" t="s">
        <v>3037</v>
      </c>
      <c r="I54" s="7" t="s">
        <v>3038</v>
      </c>
      <c r="J54" s="7" t="s">
        <v>77</v>
      </c>
      <c r="K54" s="7" t="s">
        <v>3041</v>
      </c>
      <c r="L54" s="7" t="s">
        <v>924</v>
      </c>
      <c r="M54" s="7" t="s">
        <v>105</v>
      </c>
      <c r="N54" s="7"/>
    </row>
    <row r="55" spans="1:14" ht="28" x14ac:dyDescent="0.2">
      <c r="A55" s="7" t="s">
        <v>665</v>
      </c>
      <c r="B55" s="7" t="s">
        <v>1443</v>
      </c>
      <c r="C55" s="7" t="s">
        <v>74</v>
      </c>
      <c r="D55" s="7" t="s">
        <v>1447</v>
      </c>
      <c r="E55" s="7" t="s">
        <v>3035</v>
      </c>
      <c r="F55" s="7" t="s">
        <v>3036</v>
      </c>
      <c r="G55" s="7" t="s">
        <v>187</v>
      </c>
      <c r="H55" s="7" t="s">
        <v>3037</v>
      </c>
      <c r="I55" s="7" t="s">
        <v>3038</v>
      </c>
      <c r="J55" s="7" t="s">
        <v>77</v>
      </c>
      <c r="K55" s="7" t="s">
        <v>3042</v>
      </c>
      <c r="L55" s="7" t="s">
        <v>924</v>
      </c>
      <c r="M55" s="7" t="s">
        <v>105</v>
      </c>
      <c r="N55" s="7"/>
    </row>
    <row r="56" spans="1:14" ht="28" x14ac:dyDescent="0.2">
      <c r="A56" s="7" t="s">
        <v>665</v>
      </c>
      <c r="B56" s="7" t="s">
        <v>1453</v>
      </c>
      <c r="C56" s="7" t="s">
        <v>74</v>
      </c>
      <c r="D56" s="7" t="s">
        <v>1457</v>
      </c>
      <c r="E56" s="7" t="s">
        <v>3035</v>
      </c>
      <c r="F56" s="7" t="s">
        <v>3036</v>
      </c>
      <c r="G56" s="7" t="s">
        <v>187</v>
      </c>
      <c r="H56" s="7" t="s">
        <v>3037</v>
      </c>
      <c r="I56" s="7" t="s">
        <v>3038</v>
      </c>
      <c r="J56" s="7" t="s">
        <v>77</v>
      </c>
      <c r="K56" s="7" t="s">
        <v>3042</v>
      </c>
      <c r="L56" s="7" t="s">
        <v>924</v>
      </c>
      <c r="M56" s="7" t="s">
        <v>105</v>
      </c>
      <c r="N56" s="7"/>
    </row>
    <row r="57" spans="1:14" ht="56" x14ac:dyDescent="0.2">
      <c r="A57" s="7" t="s">
        <v>675</v>
      </c>
      <c r="B57" s="7" t="s">
        <v>2522</v>
      </c>
      <c r="C57" s="7" t="s">
        <v>139</v>
      </c>
      <c r="D57" s="7" t="s">
        <v>3043</v>
      </c>
      <c r="E57" s="7" t="s">
        <v>3044</v>
      </c>
      <c r="F57" s="7" t="s">
        <v>3045</v>
      </c>
      <c r="G57" s="7" t="s">
        <v>187</v>
      </c>
      <c r="H57" s="7" t="s">
        <v>3046</v>
      </c>
      <c r="I57" s="7" t="s">
        <v>2970</v>
      </c>
      <c r="J57" s="7" t="s">
        <v>77</v>
      </c>
      <c r="K57" s="7" t="s">
        <v>3047</v>
      </c>
      <c r="L57" s="7" t="s">
        <v>924</v>
      </c>
      <c r="M57" s="7" t="s">
        <v>105</v>
      </c>
      <c r="N57" s="7" t="s">
        <v>3048</v>
      </c>
    </row>
    <row r="58" spans="1:14" ht="98" x14ac:dyDescent="0.2">
      <c r="A58" s="7" t="s">
        <v>692</v>
      </c>
      <c r="B58" s="7" t="s">
        <v>2739</v>
      </c>
      <c r="C58" s="7" t="s">
        <v>139</v>
      </c>
      <c r="D58" s="7" t="s">
        <v>3049</v>
      </c>
      <c r="E58" s="7" t="s">
        <v>3050</v>
      </c>
      <c r="F58" s="7" t="s">
        <v>3051</v>
      </c>
      <c r="G58" s="7" t="s">
        <v>187</v>
      </c>
      <c r="H58" s="7" t="s">
        <v>3052</v>
      </c>
      <c r="I58" s="7" t="s">
        <v>3053</v>
      </c>
      <c r="J58" s="7" t="s">
        <v>77</v>
      </c>
      <c r="K58" s="7" t="s">
        <v>3054</v>
      </c>
      <c r="L58" s="7" t="s">
        <v>924</v>
      </c>
      <c r="M58" s="7" t="s">
        <v>105</v>
      </c>
      <c r="N58" s="7" t="s">
        <v>3055</v>
      </c>
    </row>
    <row r="59" spans="1:14" ht="70" x14ac:dyDescent="0.2">
      <c r="A59" s="7" t="s">
        <v>692</v>
      </c>
      <c r="B59" s="7" t="s">
        <v>2747</v>
      </c>
      <c r="C59" s="7" t="s">
        <v>139</v>
      </c>
      <c r="D59" s="7" t="s">
        <v>863</v>
      </c>
      <c r="E59" s="7" t="s">
        <v>3050</v>
      </c>
      <c r="F59" s="7" t="s">
        <v>3056</v>
      </c>
      <c r="G59" s="7" t="s">
        <v>187</v>
      </c>
      <c r="H59" s="7" t="s">
        <v>3052</v>
      </c>
      <c r="I59" s="7" t="s">
        <v>3053</v>
      </c>
      <c r="J59" s="7" t="s">
        <v>77</v>
      </c>
      <c r="K59" s="7" t="s">
        <v>3054</v>
      </c>
      <c r="L59" s="7" t="s">
        <v>924</v>
      </c>
      <c r="M59" s="7" t="s">
        <v>105</v>
      </c>
      <c r="N59" s="7" t="s">
        <v>3057</v>
      </c>
    </row>
    <row r="60" spans="1:14" ht="28" x14ac:dyDescent="0.2">
      <c r="A60" s="7" t="s">
        <v>708</v>
      </c>
      <c r="B60" s="7" t="s">
        <v>3058</v>
      </c>
      <c r="C60" s="7" t="s">
        <v>139</v>
      </c>
      <c r="D60" s="7" t="s">
        <v>863</v>
      </c>
      <c r="E60" s="7" t="s">
        <v>3059</v>
      </c>
      <c r="F60" s="7" t="s">
        <v>3060</v>
      </c>
      <c r="G60" s="7" t="s">
        <v>187</v>
      </c>
      <c r="H60" s="7" t="s">
        <v>3061</v>
      </c>
      <c r="I60" s="7" t="s">
        <v>2922</v>
      </c>
      <c r="J60" s="7" t="s">
        <v>80</v>
      </c>
      <c r="K60" s="7" t="s">
        <v>3062</v>
      </c>
      <c r="L60" s="7" t="s">
        <v>3063</v>
      </c>
      <c r="M60" s="7" t="s">
        <v>105</v>
      </c>
      <c r="N60" s="7" t="s">
        <v>3064</v>
      </c>
    </row>
    <row r="61" spans="1:14" ht="56" x14ac:dyDescent="0.2">
      <c r="A61" s="7" t="s">
        <v>723</v>
      </c>
      <c r="B61" s="7" t="s">
        <v>3058</v>
      </c>
      <c r="C61" s="7" t="s">
        <v>139</v>
      </c>
      <c r="D61" s="7" t="s">
        <v>1479</v>
      </c>
      <c r="E61" s="7" t="s">
        <v>3065</v>
      </c>
      <c r="F61" s="7" t="s">
        <v>3066</v>
      </c>
      <c r="G61" s="7" t="s">
        <v>187</v>
      </c>
      <c r="H61" s="7" t="s">
        <v>3067</v>
      </c>
      <c r="I61" s="7" t="s">
        <v>187</v>
      </c>
      <c r="J61" s="7" t="s">
        <v>3068</v>
      </c>
      <c r="K61" s="7" t="s">
        <v>3069</v>
      </c>
      <c r="L61" s="7" t="s">
        <v>866</v>
      </c>
      <c r="M61" s="7" t="s">
        <v>105</v>
      </c>
      <c r="N61" s="7" t="s">
        <v>3070</v>
      </c>
    </row>
    <row r="62" spans="1:14" ht="42" x14ac:dyDescent="0.2">
      <c r="A62" s="7" t="s">
        <v>738</v>
      </c>
      <c r="B62" s="7" t="s">
        <v>1531</v>
      </c>
      <c r="C62" s="7" t="s">
        <v>139</v>
      </c>
      <c r="D62" s="7" t="s">
        <v>863</v>
      </c>
      <c r="E62" s="7" t="s">
        <v>3071</v>
      </c>
      <c r="F62" s="7" t="s">
        <v>3072</v>
      </c>
      <c r="G62" s="7" t="s">
        <v>1535</v>
      </c>
      <c r="H62" s="7" t="s">
        <v>3073</v>
      </c>
      <c r="I62" s="7" t="s">
        <v>2922</v>
      </c>
      <c r="J62" s="7" t="s">
        <v>77</v>
      </c>
      <c r="K62" s="7" t="s">
        <v>3074</v>
      </c>
      <c r="L62" s="7" t="s">
        <v>1696</v>
      </c>
      <c r="M62" s="7" t="s">
        <v>105</v>
      </c>
      <c r="N62" s="7"/>
    </row>
    <row r="63" spans="1:14" ht="56" x14ac:dyDescent="0.2">
      <c r="A63" s="7" t="s">
        <v>738</v>
      </c>
      <c r="B63" s="7" t="s">
        <v>1544</v>
      </c>
      <c r="C63" s="7" t="s">
        <v>139</v>
      </c>
      <c r="D63" s="7" t="s">
        <v>863</v>
      </c>
      <c r="E63" s="7" t="s">
        <v>3075</v>
      </c>
      <c r="F63" s="7" t="s">
        <v>3076</v>
      </c>
      <c r="G63" s="7" t="s">
        <v>1548</v>
      </c>
      <c r="H63" s="7" t="s">
        <v>3073</v>
      </c>
      <c r="I63" s="7" t="s">
        <v>2922</v>
      </c>
      <c r="J63" s="7" t="s">
        <v>77</v>
      </c>
      <c r="K63" s="7" t="s">
        <v>3077</v>
      </c>
      <c r="L63" s="7" t="s">
        <v>1696</v>
      </c>
      <c r="M63" s="7" t="s">
        <v>105</v>
      </c>
      <c r="N63" s="7"/>
    </row>
    <row r="64" spans="1:14" ht="56" x14ac:dyDescent="0.2">
      <c r="A64" s="7" t="s">
        <v>752</v>
      </c>
      <c r="B64" s="7" t="s">
        <v>1558</v>
      </c>
      <c r="C64" s="7" t="s">
        <v>139</v>
      </c>
      <c r="D64" s="7" t="s">
        <v>863</v>
      </c>
      <c r="E64" s="7" t="s">
        <v>3078</v>
      </c>
      <c r="F64" s="7" t="s">
        <v>3079</v>
      </c>
      <c r="G64" s="7" t="s">
        <v>3080</v>
      </c>
      <c r="H64" s="7" t="s">
        <v>3081</v>
      </c>
      <c r="I64" s="7" t="s">
        <v>3082</v>
      </c>
      <c r="J64" s="7" t="s">
        <v>77</v>
      </c>
      <c r="K64" s="7" t="s">
        <v>3083</v>
      </c>
      <c r="L64" s="7" t="s">
        <v>1696</v>
      </c>
      <c r="M64" s="7" t="s">
        <v>105</v>
      </c>
      <c r="N64" s="7"/>
    </row>
    <row r="65" spans="1:14" ht="28" x14ac:dyDescent="0.2">
      <c r="A65" s="7" t="s">
        <v>752</v>
      </c>
      <c r="B65" s="7" t="s">
        <v>1569</v>
      </c>
      <c r="C65" s="7" t="s">
        <v>74</v>
      </c>
      <c r="D65" s="7" t="s">
        <v>1051</v>
      </c>
      <c r="E65" s="7" t="s">
        <v>3084</v>
      </c>
      <c r="F65" s="7" t="s">
        <v>3085</v>
      </c>
      <c r="G65" s="7" t="s">
        <v>3086</v>
      </c>
      <c r="H65" s="7" t="s">
        <v>2993</v>
      </c>
      <c r="I65" s="7" t="s">
        <v>3087</v>
      </c>
      <c r="J65" s="7" t="s">
        <v>77</v>
      </c>
      <c r="K65" s="7" t="s">
        <v>3088</v>
      </c>
      <c r="L65" s="7" t="s">
        <v>1700</v>
      </c>
      <c r="M65" s="7" t="s">
        <v>105</v>
      </c>
      <c r="N65" s="7"/>
    </row>
    <row r="66" spans="1:14" ht="42" x14ac:dyDescent="0.2">
      <c r="A66" s="7" t="s">
        <v>766</v>
      </c>
      <c r="B66" s="7" t="s">
        <v>1576</v>
      </c>
      <c r="C66" s="7" t="s">
        <v>74</v>
      </c>
      <c r="D66" s="7" t="s">
        <v>1582</v>
      </c>
      <c r="E66" s="7" t="s">
        <v>3059</v>
      </c>
      <c r="F66" s="7" t="s">
        <v>187</v>
      </c>
      <c r="G66" s="7" t="s">
        <v>1744</v>
      </c>
      <c r="H66" s="7" t="s">
        <v>3089</v>
      </c>
      <c r="I66" s="7" t="s">
        <v>2922</v>
      </c>
      <c r="J66" s="7" t="s">
        <v>80</v>
      </c>
      <c r="K66" s="7" t="s">
        <v>3090</v>
      </c>
      <c r="L66" s="7" t="s">
        <v>3091</v>
      </c>
      <c r="M66" s="7" t="s">
        <v>105</v>
      </c>
      <c r="N66" s="7" t="s">
        <v>3092</v>
      </c>
    </row>
    <row r="67" spans="1:14" ht="28" x14ac:dyDescent="0.2">
      <c r="A67" s="7" t="s">
        <v>780</v>
      </c>
      <c r="B67" s="7" t="s">
        <v>1589</v>
      </c>
      <c r="C67" s="7" t="s">
        <v>139</v>
      </c>
      <c r="D67" s="7" t="s">
        <v>1592</v>
      </c>
      <c r="E67" s="7" t="s">
        <v>3093</v>
      </c>
      <c r="F67" s="7" t="s">
        <v>187</v>
      </c>
      <c r="G67" s="7" t="s">
        <v>187</v>
      </c>
      <c r="H67" s="7" t="s">
        <v>2993</v>
      </c>
      <c r="I67" s="7" t="s">
        <v>187</v>
      </c>
      <c r="J67" s="7" t="s">
        <v>77</v>
      </c>
      <c r="K67" s="7" t="s">
        <v>3094</v>
      </c>
      <c r="L67" s="7" t="s">
        <v>924</v>
      </c>
      <c r="M67" s="7" t="s">
        <v>105</v>
      </c>
      <c r="N67" s="7"/>
    </row>
    <row r="68" spans="1:14" ht="28" x14ac:dyDescent="0.2">
      <c r="A68" s="7" t="s">
        <v>780</v>
      </c>
      <c r="B68" s="7" t="s">
        <v>253</v>
      </c>
      <c r="C68" s="7" t="s">
        <v>139</v>
      </c>
      <c r="D68" s="7" t="s">
        <v>1605</v>
      </c>
      <c r="E68" s="7" t="s">
        <v>3093</v>
      </c>
      <c r="F68" s="7" t="s">
        <v>187</v>
      </c>
      <c r="G68" s="7" t="s">
        <v>187</v>
      </c>
      <c r="H68" s="7" t="s">
        <v>2993</v>
      </c>
      <c r="I68" s="7" t="s">
        <v>187</v>
      </c>
      <c r="J68" s="7" t="s">
        <v>77</v>
      </c>
      <c r="K68" s="7" t="s">
        <v>3094</v>
      </c>
      <c r="L68" s="7" t="s">
        <v>924</v>
      </c>
      <c r="M68" s="7" t="s">
        <v>105</v>
      </c>
      <c r="N68" s="7"/>
    </row>
    <row r="69" spans="1:14" ht="56" x14ac:dyDescent="0.2">
      <c r="A69" s="7" t="s">
        <v>793</v>
      </c>
      <c r="B69" s="7" t="s">
        <v>2522</v>
      </c>
      <c r="C69" s="7" t="s">
        <v>187</v>
      </c>
      <c r="D69" s="7" t="s">
        <v>187</v>
      </c>
      <c r="E69" s="7" t="s">
        <v>187</v>
      </c>
      <c r="F69" s="7" t="s">
        <v>187</v>
      </c>
      <c r="G69" s="7" t="s">
        <v>187</v>
      </c>
      <c r="H69" s="7" t="s">
        <v>3095</v>
      </c>
      <c r="I69" s="7" t="s">
        <v>187</v>
      </c>
      <c r="J69" s="7" t="s">
        <v>80</v>
      </c>
      <c r="K69" s="7" t="s">
        <v>3096</v>
      </c>
      <c r="L69" s="7" t="s">
        <v>3097</v>
      </c>
      <c r="M69" s="7" t="s">
        <v>105</v>
      </c>
      <c r="N69" s="7" t="s">
        <v>3098</v>
      </c>
    </row>
    <row r="70" spans="1:14" ht="28" x14ac:dyDescent="0.2">
      <c r="A70" s="7" t="s">
        <v>802</v>
      </c>
      <c r="B70" s="7" t="s">
        <v>3058</v>
      </c>
      <c r="C70" s="7" t="s">
        <v>139</v>
      </c>
      <c r="D70" s="7" t="s">
        <v>863</v>
      </c>
      <c r="E70" s="7" t="s">
        <v>3099</v>
      </c>
      <c r="F70" s="7" t="s">
        <v>187</v>
      </c>
      <c r="G70" s="7" t="s">
        <v>187</v>
      </c>
      <c r="H70" s="7" t="s">
        <v>3100</v>
      </c>
      <c r="I70" s="7" t="s">
        <v>2922</v>
      </c>
      <c r="J70" s="7" t="s">
        <v>80</v>
      </c>
      <c r="K70" s="7" t="s">
        <v>3101</v>
      </c>
      <c r="L70" s="7" t="s">
        <v>3102</v>
      </c>
      <c r="M70" s="7" t="s">
        <v>105</v>
      </c>
      <c r="N70" s="7" t="s">
        <v>3103</v>
      </c>
    </row>
  </sheetData>
  <dataValidations count="4">
    <dataValidation type="list" allowBlank="1" sqref="C4:C400" xr:uid="{00000000-0002-0000-0500-000000000000}">
      <formula1>"Yes - all/most,Yes - subset,No,NR"</formula1>
      <formula2>0</formula2>
    </dataValidation>
    <dataValidation type="list" allowBlank="1" sqref="H4:H400" xr:uid="{00000000-0002-0000-0500-000001000000}">
      <formula1>"Severe PCP (PaO2&lt;70/A-a&gt;35),Underlying disease,Physician discretion,NR,NA"</formula1>
      <formula2>0</formula2>
    </dataValidation>
    <dataValidation type="list" allowBlank="1" sqref="J4:J400" xr:uid="{00000000-0002-0000-0500-000002000000}">
      <formula1>"Yes,No,NR,NA"</formula1>
      <formula2>0</formula2>
    </dataValidation>
    <dataValidation type="list" allowBlank="1" sqref="M4:M400" xr:uid="{00000000-0002-0000-0500-000003000000}">
      <formula1>"Reviewer A,Reviewer B,Consensus,REL (adjudicator),Claude (machine draft)"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9"/>
  <sheetViews>
    <sheetView showGridLines="0" zoomScaleNormal="100" workbookViewId="0">
      <pane ySplit="3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10" width="14" customWidth="1"/>
    <col min="11" max="11" width="50" customWidth="1"/>
    <col min="12" max="12" width="14" customWidth="1"/>
  </cols>
  <sheetData>
    <row r="1" spans="1:12" ht="17" x14ac:dyDescent="0.2">
      <c r="A1" s="1" t="s">
        <v>3104</v>
      </c>
    </row>
    <row r="3" spans="1:12" ht="42" customHeight="1" x14ac:dyDescent="0.2">
      <c r="A3" s="5" t="s">
        <v>25</v>
      </c>
      <c r="B3" s="5" t="s">
        <v>3105</v>
      </c>
      <c r="C3" s="5" t="s">
        <v>3106</v>
      </c>
      <c r="D3" s="5" t="s">
        <v>3107</v>
      </c>
      <c r="E3" s="5" t="s">
        <v>3108</v>
      </c>
      <c r="F3" s="5" t="s">
        <v>3109</v>
      </c>
      <c r="G3" s="5" t="s">
        <v>3110</v>
      </c>
      <c r="H3" s="5" t="s">
        <v>3111</v>
      </c>
      <c r="I3" s="5" t="s">
        <v>3112</v>
      </c>
      <c r="J3" s="5" t="s">
        <v>3113</v>
      </c>
      <c r="K3" s="5" t="s">
        <v>3114</v>
      </c>
      <c r="L3" s="5" t="s">
        <v>52</v>
      </c>
    </row>
    <row r="4" spans="1:12" ht="42" x14ac:dyDescent="0.2">
      <c r="A4" s="6" t="s">
        <v>55</v>
      </c>
      <c r="B4" s="6" t="s">
        <v>3115</v>
      </c>
      <c r="C4" s="6" t="s">
        <v>3116</v>
      </c>
      <c r="D4" s="6" t="s">
        <v>3117</v>
      </c>
      <c r="E4" s="6" t="s">
        <v>3118</v>
      </c>
      <c r="F4" s="6" t="s">
        <v>3118</v>
      </c>
      <c r="G4" s="6" t="s">
        <v>3117</v>
      </c>
      <c r="H4" s="6" t="s">
        <v>3118</v>
      </c>
      <c r="I4" s="6" t="s">
        <v>3118</v>
      </c>
      <c r="J4" s="6" t="s">
        <v>3116</v>
      </c>
      <c r="K4" s="6" t="s">
        <v>3119</v>
      </c>
      <c r="L4" s="6" t="s">
        <v>81</v>
      </c>
    </row>
    <row r="5" spans="1:12" ht="42" x14ac:dyDescent="0.2">
      <c r="A5" s="7" t="s">
        <v>84</v>
      </c>
      <c r="B5" s="7" t="s">
        <v>3115</v>
      </c>
      <c r="C5" s="7" t="s">
        <v>3116</v>
      </c>
      <c r="D5" s="7" t="s">
        <v>3117</v>
      </c>
      <c r="E5" s="7" t="s">
        <v>3118</v>
      </c>
      <c r="F5" s="7" t="s">
        <v>3117</v>
      </c>
      <c r="G5" s="7" t="s">
        <v>3117</v>
      </c>
      <c r="H5" s="7" t="s">
        <v>3117</v>
      </c>
      <c r="I5" s="7" t="s">
        <v>3117</v>
      </c>
      <c r="J5" s="7" t="s">
        <v>3116</v>
      </c>
      <c r="K5" s="7" t="s">
        <v>3120</v>
      </c>
      <c r="L5" s="7" t="s">
        <v>105</v>
      </c>
    </row>
    <row r="6" spans="1:12" ht="42" x14ac:dyDescent="0.2">
      <c r="A6" s="7" t="s">
        <v>107</v>
      </c>
      <c r="B6" s="7" t="s">
        <v>3115</v>
      </c>
      <c r="C6" s="7" t="s">
        <v>3116</v>
      </c>
      <c r="D6" s="7" t="s">
        <v>3117</v>
      </c>
      <c r="E6" s="7" t="s">
        <v>3117</v>
      </c>
      <c r="F6" s="7" t="s">
        <v>3117</v>
      </c>
      <c r="G6" s="7" t="s">
        <v>3117</v>
      </c>
      <c r="H6" s="7" t="s">
        <v>3117</v>
      </c>
      <c r="I6" s="7" t="s">
        <v>3117</v>
      </c>
      <c r="J6" s="7" t="s">
        <v>3116</v>
      </c>
      <c r="K6" s="7" t="s">
        <v>3121</v>
      </c>
      <c r="L6" s="7" t="s">
        <v>105</v>
      </c>
    </row>
    <row r="7" spans="1:12" ht="28" x14ac:dyDescent="0.2">
      <c r="A7" s="7" t="s">
        <v>125</v>
      </c>
      <c r="B7" s="7" t="s">
        <v>3115</v>
      </c>
      <c r="C7" s="7" t="s">
        <v>3116</v>
      </c>
      <c r="D7" s="7" t="s">
        <v>3116</v>
      </c>
      <c r="E7" s="7" t="s">
        <v>3117</v>
      </c>
      <c r="F7" s="7" t="s">
        <v>3117</v>
      </c>
      <c r="G7" s="7" t="s">
        <v>3117</v>
      </c>
      <c r="H7" s="7" t="s">
        <v>3117</v>
      </c>
      <c r="I7" s="7" t="s">
        <v>3116</v>
      </c>
      <c r="J7" s="7" t="s">
        <v>3116</v>
      </c>
      <c r="K7" s="7" t="s">
        <v>3122</v>
      </c>
      <c r="L7" s="7" t="s">
        <v>105</v>
      </c>
    </row>
    <row r="8" spans="1:12" ht="42" x14ac:dyDescent="0.2">
      <c r="A8" s="7" t="s">
        <v>144</v>
      </c>
      <c r="B8" s="7" t="s">
        <v>3115</v>
      </c>
      <c r="C8" s="7" t="s">
        <v>3116</v>
      </c>
      <c r="D8" s="7" t="s">
        <v>3117</v>
      </c>
      <c r="E8" s="7" t="s">
        <v>3117</v>
      </c>
      <c r="F8" s="7" t="s">
        <v>3117</v>
      </c>
      <c r="G8" s="7" t="s">
        <v>3117</v>
      </c>
      <c r="H8" s="7" t="s">
        <v>3118</v>
      </c>
      <c r="I8" s="7" t="s">
        <v>3117</v>
      </c>
      <c r="J8" s="7" t="s">
        <v>3116</v>
      </c>
      <c r="K8" s="7" t="s">
        <v>3123</v>
      </c>
      <c r="L8" s="7" t="s">
        <v>105</v>
      </c>
    </row>
    <row r="9" spans="1:12" ht="56" x14ac:dyDescent="0.2">
      <c r="A9" s="7" t="s">
        <v>160</v>
      </c>
      <c r="B9" s="7" t="s">
        <v>3115</v>
      </c>
      <c r="C9" s="7" t="s">
        <v>3116</v>
      </c>
      <c r="D9" s="7" t="s">
        <v>3117</v>
      </c>
      <c r="E9" s="7" t="s">
        <v>3117</v>
      </c>
      <c r="F9" s="7" t="s">
        <v>3117</v>
      </c>
      <c r="G9" s="7" t="s">
        <v>3117</v>
      </c>
      <c r="H9" s="7" t="s">
        <v>3117</v>
      </c>
      <c r="I9" s="7" t="s">
        <v>3117</v>
      </c>
      <c r="J9" s="7" t="s">
        <v>3116</v>
      </c>
      <c r="K9" s="7" t="s">
        <v>3124</v>
      </c>
      <c r="L9" s="7" t="s">
        <v>105</v>
      </c>
    </row>
    <row r="10" spans="1:12" ht="42" x14ac:dyDescent="0.2">
      <c r="A10" s="7" t="s">
        <v>175</v>
      </c>
      <c r="B10" s="7" t="s">
        <v>3115</v>
      </c>
      <c r="C10" s="7" t="s">
        <v>3116</v>
      </c>
      <c r="D10" s="7" t="s">
        <v>3117</v>
      </c>
      <c r="E10" s="7" t="s">
        <v>3117</v>
      </c>
      <c r="F10" s="7" t="s">
        <v>3117</v>
      </c>
      <c r="G10" s="7" t="s">
        <v>3117</v>
      </c>
      <c r="H10" s="7" t="s">
        <v>3117</v>
      </c>
      <c r="I10" s="7" t="s">
        <v>3117</v>
      </c>
      <c r="J10" s="7" t="s">
        <v>3116</v>
      </c>
      <c r="K10" s="7" t="s">
        <v>3125</v>
      </c>
      <c r="L10" s="7" t="s">
        <v>105</v>
      </c>
    </row>
    <row r="11" spans="1:12" ht="42" x14ac:dyDescent="0.2">
      <c r="A11" s="7" t="s">
        <v>192</v>
      </c>
      <c r="B11" s="7" t="s">
        <v>3115</v>
      </c>
      <c r="C11" s="7" t="s">
        <v>3116</v>
      </c>
      <c r="D11" s="7" t="s">
        <v>3116</v>
      </c>
      <c r="E11" s="7" t="s">
        <v>3118</v>
      </c>
      <c r="F11" s="7" t="s">
        <v>3117</v>
      </c>
      <c r="G11" s="7" t="s">
        <v>3117</v>
      </c>
      <c r="H11" s="7" t="s">
        <v>3117</v>
      </c>
      <c r="I11" s="7" t="s">
        <v>3117</v>
      </c>
      <c r="J11" s="7" t="s">
        <v>3116</v>
      </c>
      <c r="K11" s="7" t="s">
        <v>3126</v>
      </c>
      <c r="L11" s="7" t="s">
        <v>105</v>
      </c>
    </row>
    <row r="12" spans="1:12" ht="56" x14ac:dyDescent="0.2">
      <c r="A12" s="7" t="s">
        <v>211</v>
      </c>
      <c r="B12" s="7" t="s">
        <v>3115</v>
      </c>
      <c r="C12" s="7" t="s">
        <v>3116</v>
      </c>
      <c r="D12" s="7" t="s">
        <v>3117</v>
      </c>
      <c r="E12" s="7" t="s">
        <v>3117</v>
      </c>
      <c r="F12" s="7" t="s">
        <v>3117</v>
      </c>
      <c r="G12" s="7" t="s">
        <v>3117</v>
      </c>
      <c r="H12" s="7" t="s">
        <v>3118</v>
      </c>
      <c r="I12" s="7" t="s">
        <v>3117</v>
      </c>
      <c r="J12" s="7" t="s">
        <v>3116</v>
      </c>
      <c r="K12" s="7" t="s">
        <v>3127</v>
      </c>
      <c r="L12" s="7" t="s">
        <v>105</v>
      </c>
    </row>
    <row r="13" spans="1:12" ht="28" x14ac:dyDescent="0.2">
      <c r="A13" s="7" t="s">
        <v>227</v>
      </c>
      <c r="B13" s="7" t="s">
        <v>3115</v>
      </c>
      <c r="C13" s="7" t="s">
        <v>3116</v>
      </c>
      <c r="D13" s="7" t="s">
        <v>3117</v>
      </c>
      <c r="E13" s="7" t="s">
        <v>3118</v>
      </c>
      <c r="F13" s="7" t="s">
        <v>3117</v>
      </c>
      <c r="G13" s="7" t="s">
        <v>3117</v>
      </c>
      <c r="H13" s="7" t="s">
        <v>3118</v>
      </c>
      <c r="I13" s="7" t="s">
        <v>3117</v>
      </c>
      <c r="J13" s="7" t="s">
        <v>3116</v>
      </c>
      <c r="K13" s="7" t="s">
        <v>3128</v>
      </c>
      <c r="L13" s="7" t="s">
        <v>105</v>
      </c>
    </row>
    <row r="14" spans="1:12" ht="28" x14ac:dyDescent="0.2">
      <c r="A14" s="7" t="s">
        <v>244</v>
      </c>
      <c r="B14" s="7" t="s">
        <v>3115</v>
      </c>
      <c r="C14" s="7" t="s">
        <v>3129</v>
      </c>
      <c r="D14" s="7" t="s">
        <v>3129</v>
      </c>
      <c r="E14" s="7" t="s">
        <v>3116</v>
      </c>
      <c r="F14" s="7" t="s">
        <v>3116</v>
      </c>
      <c r="G14" s="7" t="s">
        <v>3116</v>
      </c>
      <c r="H14" s="7" t="s">
        <v>3116</v>
      </c>
      <c r="I14" s="7" t="s">
        <v>3116</v>
      </c>
      <c r="J14" s="7" t="s">
        <v>3129</v>
      </c>
      <c r="K14" s="7" t="s">
        <v>3130</v>
      </c>
      <c r="L14" s="7" t="s">
        <v>105</v>
      </c>
    </row>
    <row r="15" spans="1:12" ht="28" x14ac:dyDescent="0.2">
      <c r="A15" s="7" t="s">
        <v>258</v>
      </c>
      <c r="B15" s="7" t="s">
        <v>3115</v>
      </c>
      <c r="C15" s="7" t="s">
        <v>3116</v>
      </c>
      <c r="D15" s="7" t="s">
        <v>3117</v>
      </c>
      <c r="E15" s="7" t="s">
        <v>3118</v>
      </c>
      <c r="F15" s="7" t="s">
        <v>3117</v>
      </c>
      <c r="G15" s="7" t="s">
        <v>3117</v>
      </c>
      <c r="H15" s="7" t="s">
        <v>3117</v>
      </c>
      <c r="I15" s="7" t="s">
        <v>3117</v>
      </c>
      <c r="J15" s="7" t="s">
        <v>3116</v>
      </c>
      <c r="K15" s="7" t="s">
        <v>3131</v>
      </c>
      <c r="L15" s="7" t="s">
        <v>105</v>
      </c>
    </row>
    <row r="16" spans="1:12" ht="42" x14ac:dyDescent="0.2">
      <c r="A16" s="7" t="s">
        <v>271</v>
      </c>
      <c r="B16" s="7" t="s">
        <v>3115</v>
      </c>
      <c r="C16" s="7" t="s">
        <v>3116</v>
      </c>
      <c r="D16" s="7" t="s">
        <v>3116</v>
      </c>
      <c r="E16" s="7" t="s">
        <v>3118</v>
      </c>
      <c r="F16" s="7" t="s">
        <v>3117</v>
      </c>
      <c r="G16" s="7" t="s">
        <v>3117</v>
      </c>
      <c r="H16" s="7" t="s">
        <v>3118</v>
      </c>
      <c r="I16" s="7" t="s">
        <v>3117</v>
      </c>
      <c r="J16" s="7" t="s">
        <v>3116</v>
      </c>
      <c r="K16" s="7" t="s">
        <v>3132</v>
      </c>
      <c r="L16" s="7" t="s">
        <v>105</v>
      </c>
    </row>
    <row r="17" spans="1:12" ht="28" x14ac:dyDescent="0.2">
      <c r="A17" s="7" t="s">
        <v>287</v>
      </c>
      <c r="B17" s="7" t="s">
        <v>3115</v>
      </c>
      <c r="C17" s="7" t="s">
        <v>3116</v>
      </c>
      <c r="D17" s="7" t="s">
        <v>3117</v>
      </c>
      <c r="E17" s="7" t="s">
        <v>3118</v>
      </c>
      <c r="F17" s="7" t="s">
        <v>3117</v>
      </c>
      <c r="G17" s="7" t="s">
        <v>3117</v>
      </c>
      <c r="H17" s="7" t="s">
        <v>3118</v>
      </c>
      <c r="I17" s="7" t="s">
        <v>3117</v>
      </c>
      <c r="J17" s="7" t="s">
        <v>3116</v>
      </c>
      <c r="K17" s="7" t="s">
        <v>3133</v>
      </c>
      <c r="L17" s="7" t="s">
        <v>105</v>
      </c>
    </row>
    <row r="18" spans="1:12" ht="28" x14ac:dyDescent="0.2">
      <c r="A18" s="7" t="s">
        <v>303</v>
      </c>
      <c r="B18" s="7" t="s">
        <v>3115</v>
      </c>
      <c r="C18" s="7" t="s">
        <v>3116</v>
      </c>
      <c r="D18" s="7" t="s">
        <v>3117</v>
      </c>
      <c r="E18" s="7" t="s">
        <v>3117</v>
      </c>
      <c r="F18" s="7" t="s">
        <v>3117</v>
      </c>
      <c r="G18" s="7" t="s">
        <v>3116</v>
      </c>
      <c r="H18" s="7" t="s">
        <v>3117</v>
      </c>
      <c r="I18" s="7" t="s">
        <v>3116</v>
      </c>
      <c r="J18" s="7" t="s">
        <v>3116</v>
      </c>
      <c r="K18" s="7" t="s">
        <v>3134</v>
      </c>
      <c r="L18" s="7" t="s">
        <v>105</v>
      </c>
    </row>
    <row r="19" spans="1:12" ht="28" x14ac:dyDescent="0.2">
      <c r="A19" s="7" t="s">
        <v>318</v>
      </c>
      <c r="B19" s="7" t="s">
        <v>3115</v>
      </c>
      <c r="C19" s="7" t="s">
        <v>3116</v>
      </c>
      <c r="D19" s="7" t="s">
        <v>3118</v>
      </c>
      <c r="E19" s="7" t="s">
        <v>3118</v>
      </c>
      <c r="F19" s="7" t="s">
        <v>3117</v>
      </c>
      <c r="G19" s="7" t="s">
        <v>3117</v>
      </c>
      <c r="H19" s="7" t="s">
        <v>3118</v>
      </c>
      <c r="I19" s="7" t="s">
        <v>3117</v>
      </c>
      <c r="J19" s="7" t="s">
        <v>3116</v>
      </c>
      <c r="K19" s="7" t="s">
        <v>3135</v>
      </c>
      <c r="L19" s="7" t="s">
        <v>105</v>
      </c>
    </row>
    <row r="20" spans="1:12" ht="42" x14ac:dyDescent="0.2">
      <c r="A20" s="7" t="s">
        <v>335</v>
      </c>
      <c r="B20" s="7" t="s">
        <v>3115</v>
      </c>
      <c r="C20" s="7" t="s">
        <v>3116</v>
      </c>
      <c r="D20" s="7" t="s">
        <v>3116</v>
      </c>
      <c r="E20" s="7" t="s">
        <v>3116</v>
      </c>
      <c r="F20" s="7" t="s">
        <v>3116</v>
      </c>
      <c r="G20" s="7" t="s">
        <v>3116</v>
      </c>
      <c r="H20" s="7" t="s">
        <v>3116</v>
      </c>
      <c r="I20" s="7" t="s">
        <v>3116</v>
      </c>
      <c r="J20" s="7" t="s">
        <v>3129</v>
      </c>
      <c r="K20" s="7" t="s">
        <v>3136</v>
      </c>
      <c r="L20" s="7" t="s">
        <v>105</v>
      </c>
    </row>
    <row r="21" spans="1:12" ht="56" x14ac:dyDescent="0.2">
      <c r="A21" s="7" t="s">
        <v>353</v>
      </c>
      <c r="B21" s="7" t="s">
        <v>3137</v>
      </c>
      <c r="C21" s="7" t="s">
        <v>3118</v>
      </c>
      <c r="D21" s="7" t="s">
        <v>3118</v>
      </c>
      <c r="E21" s="7" t="s">
        <v>3118</v>
      </c>
      <c r="F21" s="7" t="s">
        <v>3118</v>
      </c>
      <c r="G21" s="7" t="s">
        <v>3118</v>
      </c>
      <c r="H21" s="7" t="s">
        <v>1232</v>
      </c>
      <c r="I21" s="7" t="s">
        <v>1232</v>
      </c>
      <c r="J21" s="7" t="s">
        <v>3118</v>
      </c>
      <c r="K21" s="7" t="s">
        <v>3138</v>
      </c>
      <c r="L21" s="7" t="s">
        <v>105</v>
      </c>
    </row>
    <row r="22" spans="1:12" ht="42" x14ac:dyDescent="0.2">
      <c r="A22" s="7" t="s">
        <v>372</v>
      </c>
      <c r="B22" s="7" t="s">
        <v>3115</v>
      </c>
      <c r="C22" s="7" t="s">
        <v>3116</v>
      </c>
      <c r="D22" s="7" t="s">
        <v>3117</v>
      </c>
      <c r="E22" s="7" t="s">
        <v>3118</v>
      </c>
      <c r="F22" s="7" t="s">
        <v>3117</v>
      </c>
      <c r="G22" s="7" t="s">
        <v>3117</v>
      </c>
      <c r="H22" s="7" t="s">
        <v>3116</v>
      </c>
      <c r="I22" s="7" t="s">
        <v>3117</v>
      </c>
      <c r="J22" s="7" t="s">
        <v>3116</v>
      </c>
      <c r="K22" s="7" t="s">
        <v>3139</v>
      </c>
      <c r="L22" s="7" t="s">
        <v>105</v>
      </c>
    </row>
    <row r="23" spans="1:12" ht="42" x14ac:dyDescent="0.2">
      <c r="A23" s="7" t="s">
        <v>386</v>
      </c>
      <c r="B23" s="7" t="s">
        <v>3115</v>
      </c>
      <c r="C23" s="7" t="s">
        <v>3116</v>
      </c>
      <c r="D23" s="7" t="s">
        <v>3116</v>
      </c>
      <c r="E23" s="7" t="s">
        <v>3117</v>
      </c>
      <c r="F23" s="7" t="s">
        <v>3117</v>
      </c>
      <c r="G23" s="7" t="s">
        <v>3116</v>
      </c>
      <c r="H23" s="7" t="s">
        <v>3118</v>
      </c>
      <c r="I23" s="7" t="s">
        <v>3116</v>
      </c>
      <c r="J23" s="7" t="s">
        <v>3116</v>
      </c>
      <c r="K23" s="7" t="s">
        <v>3140</v>
      </c>
      <c r="L23" s="7" t="s">
        <v>105</v>
      </c>
    </row>
    <row r="24" spans="1:12" ht="42" x14ac:dyDescent="0.2">
      <c r="A24" s="7" t="s">
        <v>400</v>
      </c>
      <c r="B24" s="7" t="s">
        <v>3115</v>
      </c>
      <c r="C24" s="7" t="s">
        <v>3116</v>
      </c>
      <c r="D24" s="7" t="s">
        <v>3117</v>
      </c>
      <c r="E24" s="7" t="s">
        <v>3118</v>
      </c>
      <c r="F24" s="7" t="s">
        <v>3117</v>
      </c>
      <c r="G24" s="7" t="s">
        <v>3117</v>
      </c>
      <c r="H24" s="7" t="s">
        <v>3118</v>
      </c>
      <c r="I24" s="7" t="s">
        <v>3117</v>
      </c>
      <c r="J24" s="7" t="s">
        <v>3116</v>
      </c>
      <c r="K24" s="7" t="s">
        <v>3141</v>
      </c>
      <c r="L24" s="7" t="s">
        <v>105</v>
      </c>
    </row>
    <row r="25" spans="1:12" ht="42" x14ac:dyDescent="0.2">
      <c r="A25" s="7" t="s">
        <v>414</v>
      </c>
      <c r="B25" s="7" t="s">
        <v>3115</v>
      </c>
      <c r="C25" s="7" t="s">
        <v>3116</v>
      </c>
      <c r="D25" s="7" t="s">
        <v>3116</v>
      </c>
      <c r="E25" s="7" t="s">
        <v>3117</v>
      </c>
      <c r="F25" s="7" t="s">
        <v>3117</v>
      </c>
      <c r="G25" s="7" t="s">
        <v>3116</v>
      </c>
      <c r="H25" s="7" t="s">
        <v>3118</v>
      </c>
      <c r="I25" s="7" t="s">
        <v>3116</v>
      </c>
      <c r="J25" s="7" t="s">
        <v>3116</v>
      </c>
      <c r="K25" s="7" t="s">
        <v>3142</v>
      </c>
      <c r="L25" s="7" t="s">
        <v>105</v>
      </c>
    </row>
    <row r="26" spans="1:12" ht="42" x14ac:dyDescent="0.2">
      <c r="A26" s="7" t="s">
        <v>429</v>
      </c>
      <c r="B26" s="7" t="s">
        <v>3115</v>
      </c>
      <c r="C26" s="7" t="s">
        <v>3116</v>
      </c>
      <c r="D26" s="7" t="s">
        <v>3116</v>
      </c>
      <c r="E26" s="7" t="s">
        <v>3117</v>
      </c>
      <c r="F26" s="7" t="s">
        <v>3117</v>
      </c>
      <c r="G26" s="7" t="s">
        <v>3116</v>
      </c>
      <c r="H26" s="7" t="s">
        <v>3118</v>
      </c>
      <c r="I26" s="7" t="s">
        <v>3116</v>
      </c>
      <c r="J26" s="7" t="s">
        <v>3116</v>
      </c>
      <c r="K26" s="7" t="s">
        <v>3143</v>
      </c>
      <c r="L26" s="7" t="s">
        <v>105</v>
      </c>
    </row>
    <row r="27" spans="1:12" ht="42" x14ac:dyDescent="0.2">
      <c r="A27" s="7" t="s">
        <v>442</v>
      </c>
      <c r="B27" s="7" t="s">
        <v>3115</v>
      </c>
      <c r="C27" s="7" t="s">
        <v>3129</v>
      </c>
      <c r="D27" s="7" t="s">
        <v>3116</v>
      </c>
      <c r="E27" s="7" t="s">
        <v>3117</v>
      </c>
      <c r="F27" s="7" t="s">
        <v>3116</v>
      </c>
      <c r="G27" s="7" t="s">
        <v>3116</v>
      </c>
      <c r="H27" s="7" t="s">
        <v>3117</v>
      </c>
      <c r="I27" s="7" t="s">
        <v>3116</v>
      </c>
      <c r="J27" s="7" t="s">
        <v>3129</v>
      </c>
      <c r="K27" s="7" t="s">
        <v>3144</v>
      </c>
      <c r="L27" s="7" t="s">
        <v>105</v>
      </c>
    </row>
    <row r="28" spans="1:12" ht="28" x14ac:dyDescent="0.2">
      <c r="A28" s="7" t="s">
        <v>456</v>
      </c>
      <c r="B28" s="7" t="s">
        <v>3115</v>
      </c>
      <c r="C28" s="7" t="s">
        <v>3129</v>
      </c>
      <c r="D28" s="7" t="s">
        <v>3116</v>
      </c>
      <c r="E28" s="7" t="s">
        <v>3117</v>
      </c>
      <c r="F28" s="7" t="s">
        <v>3117</v>
      </c>
      <c r="G28" s="7" t="s">
        <v>3116</v>
      </c>
      <c r="H28" s="7" t="s">
        <v>3117</v>
      </c>
      <c r="I28" s="7" t="s">
        <v>3116</v>
      </c>
      <c r="J28" s="7" t="s">
        <v>3129</v>
      </c>
      <c r="K28" s="7" t="s">
        <v>3145</v>
      </c>
      <c r="L28" s="7" t="s">
        <v>105</v>
      </c>
    </row>
    <row r="29" spans="1:12" ht="42" x14ac:dyDescent="0.2">
      <c r="A29" s="7" t="s">
        <v>472</v>
      </c>
      <c r="B29" s="7" t="s">
        <v>3115</v>
      </c>
      <c r="C29" s="7" t="s">
        <v>3116</v>
      </c>
      <c r="D29" s="7" t="s">
        <v>3117</v>
      </c>
      <c r="E29" s="7" t="s">
        <v>3118</v>
      </c>
      <c r="F29" s="7" t="s">
        <v>3116</v>
      </c>
      <c r="G29" s="7" t="s">
        <v>3117</v>
      </c>
      <c r="H29" s="7" t="s">
        <v>3117</v>
      </c>
      <c r="I29" s="7" t="s">
        <v>3117</v>
      </c>
      <c r="J29" s="7" t="s">
        <v>3116</v>
      </c>
      <c r="K29" s="7" t="s">
        <v>3146</v>
      </c>
      <c r="L29" s="7" t="s">
        <v>105</v>
      </c>
    </row>
    <row r="30" spans="1:12" ht="56" x14ac:dyDescent="0.2">
      <c r="A30" s="7" t="s">
        <v>486</v>
      </c>
      <c r="B30" s="7" t="s">
        <v>3115</v>
      </c>
      <c r="C30" s="7" t="s">
        <v>3117</v>
      </c>
      <c r="D30" s="7" t="s">
        <v>3117</v>
      </c>
      <c r="E30" s="7" t="s">
        <v>3118</v>
      </c>
      <c r="F30" s="7" t="s">
        <v>3117</v>
      </c>
      <c r="G30" s="7" t="s">
        <v>3118</v>
      </c>
      <c r="H30" s="7" t="s">
        <v>3118</v>
      </c>
      <c r="I30" s="7" t="s">
        <v>3118</v>
      </c>
      <c r="J30" s="7" t="s">
        <v>3117</v>
      </c>
      <c r="K30" s="7" t="s">
        <v>3147</v>
      </c>
      <c r="L30" s="7" t="s">
        <v>105</v>
      </c>
    </row>
    <row r="31" spans="1:12" ht="70" x14ac:dyDescent="0.2">
      <c r="A31" s="7" t="s">
        <v>501</v>
      </c>
      <c r="B31" s="7" t="s">
        <v>3115</v>
      </c>
      <c r="C31" s="7" t="s">
        <v>3116</v>
      </c>
      <c r="D31" s="7" t="s">
        <v>3117</v>
      </c>
      <c r="E31" s="7" t="s">
        <v>3118</v>
      </c>
      <c r="F31" s="7" t="s">
        <v>3116</v>
      </c>
      <c r="G31" s="7" t="s">
        <v>3117</v>
      </c>
      <c r="H31" s="7" t="s">
        <v>3118</v>
      </c>
      <c r="I31" s="7" t="s">
        <v>3117</v>
      </c>
      <c r="J31" s="7" t="s">
        <v>3116</v>
      </c>
      <c r="K31" s="7" t="s">
        <v>3148</v>
      </c>
      <c r="L31" s="7" t="s">
        <v>105</v>
      </c>
    </row>
    <row r="32" spans="1:12" ht="28" x14ac:dyDescent="0.2">
      <c r="A32" s="7" t="s">
        <v>516</v>
      </c>
      <c r="B32" s="7" t="s">
        <v>3115</v>
      </c>
      <c r="C32" s="7" t="s">
        <v>3116</v>
      </c>
      <c r="D32" s="7" t="s">
        <v>3149</v>
      </c>
      <c r="E32" s="7" t="s">
        <v>3117</v>
      </c>
      <c r="F32" s="7" t="s">
        <v>3149</v>
      </c>
      <c r="G32" s="7" t="s">
        <v>3117</v>
      </c>
      <c r="H32" s="7" t="s">
        <v>3117</v>
      </c>
      <c r="I32" s="7" t="s">
        <v>3117</v>
      </c>
      <c r="J32" s="7" t="s">
        <v>3116</v>
      </c>
      <c r="K32" s="7" t="s">
        <v>3150</v>
      </c>
      <c r="L32" s="7" t="s">
        <v>105</v>
      </c>
    </row>
    <row r="33" spans="1:12" ht="28" x14ac:dyDescent="0.2">
      <c r="A33" s="7" t="s">
        <v>532</v>
      </c>
      <c r="B33" s="7" t="s">
        <v>3115</v>
      </c>
      <c r="C33" s="7" t="s">
        <v>3116</v>
      </c>
      <c r="D33" s="7" t="s">
        <v>3149</v>
      </c>
      <c r="E33" s="7" t="s">
        <v>3117</v>
      </c>
      <c r="F33" s="7" t="s">
        <v>3149</v>
      </c>
      <c r="G33" s="7" t="s">
        <v>3116</v>
      </c>
      <c r="H33" s="7" t="s">
        <v>3117</v>
      </c>
      <c r="I33" s="7" t="s">
        <v>3116</v>
      </c>
      <c r="J33" s="7" t="s">
        <v>3116</v>
      </c>
      <c r="K33" s="7" t="s">
        <v>3151</v>
      </c>
      <c r="L33" s="7" t="s">
        <v>105</v>
      </c>
    </row>
    <row r="34" spans="1:12" ht="42" x14ac:dyDescent="0.2">
      <c r="A34" s="7" t="s">
        <v>548</v>
      </c>
      <c r="B34" s="7" t="s">
        <v>3115</v>
      </c>
      <c r="C34" s="7" t="s">
        <v>3116</v>
      </c>
      <c r="D34" s="7" t="s">
        <v>3116</v>
      </c>
      <c r="E34" s="7" t="s">
        <v>3117</v>
      </c>
      <c r="F34" s="7" t="s">
        <v>3116</v>
      </c>
      <c r="G34" s="7" t="s">
        <v>3117</v>
      </c>
      <c r="H34" s="7" t="s">
        <v>3116</v>
      </c>
      <c r="I34" s="7" t="s">
        <v>3116</v>
      </c>
      <c r="J34" s="7" t="s">
        <v>3116</v>
      </c>
      <c r="K34" s="7" t="s">
        <v>3152</v>
      </c>
      <c r="L34" s="7" t="s">
        <v>105</v>
      </c>
    </row>
    <row r="35" spans="1:12" ht="56" x14ac:dyDescent="0.2">
      <c r="A35" s="7" t="s">
        <v>563</v>
      </c>
      <c r="B35" s="7" t="s">
        <v>3115</v>
      </c>
      <c r="C35" s="7" t="s">
        <v>3117</v>
      </c>
      <c r="D35" s="7" t="s">
        <v>3117</v>
      </c>
      <c r="E35" s="7" t="s">
        <v>3118</v>
      </c>
      <c r="F35" s="7" t="s">
        <v>3117</v>
      </c>
      <c r="G35" s="7" t="s">
        <v>3118</v>
      </c>
      <c r="H35" s="7" t="s">
        <v>3118</v>
      </c>
      <c r="I35" s="7" t="s">
        <v>3118</v>
      </c>
      <c r="J35" s="7" t="s">
        <v>3117</v>
      </c>
      <c r="K35" s="7" t="s">
        <v>3153</v>
      </c>
      <c r="L35" s="7" t="s">
        <v>105</v>
      </c>
    </row>
    <row r="36" spans="1:12" ht="56" x14ac:dyDescent="0.2">
      <c r="A36" s="7" t="s">
        <v>578</v>
      </c>
      <c r="B36" s="7" t="s">
        <v>3115</v>
      </c>
      <c r="C36" s="7" t="s">
        <v>3116</v>
      </c>
      <c r="D36" s="7" t="s">
        <v>3117</v>
      </c>
      <c r="E36" s="7" t="s">
        <v>3118</v>
      </c>
      <c r="F36" s="7" t="s">
        <v>3116</v>
      </c>
      <c r="G36" s="7" t="s">
        <v>3117</v>
      </c>
      <c r="H36" s="7" t="s">
        <v>3118</v>
      </c>
      <c r="I36" s="7" t="s">
        <v>3117</v>
      </c>
      <c r="J36" s="7" t="s">
        <v>3116</v>
      </c>
      <c r="K36" s="7" t="s">
        <v>3154</v>
      </c>
      <c r="L36" s="7" t="s">
        <v>105</v>
      </c>
    </row>
    <row r="37" spans="1:12" ht="42" x14ac:dyDescent="0.2">
      <c r="A37" s="7" t="s">
        <v>593</v>
      </c>
      <c r="B37" s="7" t="s">
        <v>3115</v>
      </c>
      <c r="C37" s="7" t="s">
        <v>3116</v>
      </c>
      <c r="D37" s="7" t="s">
        <v>3117</v>
      </c>
      <c r="E37" s="7" t="s">
        <v>3118</v>
      </c>
      <c r="F37" s="7" t="s">
        <v>3117</v>
      </c>
      <c r="G37" s="7" t="s">
        <v>3117</v>
      </c>
      <c r="H37" s="7" t="s">
        <v>3117</v>
      </c>
      <c r="I37" s="7" t="s">
        <v>3117</v>
      </c>
      <c r="J37" s="7" t="s">
        <v>3116</v>
      </c>
      <c r="K37" s="7" t="s">
        <v>3155</v>
      </c>
      <c r="L37" s="7" t="s">
        <v>105</v>
      </c>
    </row>
    <row r="38" spans="1:12" ht="42" x14ac:dyDescent="0.2">
      <c r="A38" s="7" t="s">
        <v>607</v>
      </c>
      <c r="B38" s="7" t="s">
        <v>3115</v>
      </c>
      <c r="C38" s="7" t="s">
        <v>3116</v>
      </c>
      <c r="D38" s="7" t="s">
        <v>3117</v>
      </c>
      <c r="E38" s="7" t="s">
        <v>3118</v>
      </c>
      <c r="F38" s="7" t="s">
        <v>3117</v>
      </c>
      <c r="G38" s="7" t="s">
        <v>3118</v>
      </c>
      <c r="H38" s="7" t="s">
        <v>3118</v>
      </c>
      <c r="I38" s="7" t="s">
        <v>3117</v>
      </c>
      <c r="J38" s="7" t="s">
        <v>3116</v>
      </c>
      <c r="K38" s="7" t="s">
        <v>3156</v>
      </c>
      <c r="L38" s="7" t="s">
        <v>105</v>
      </c>
    </row>
    <row r="39" spans="1:12" ht="42" x14ac:dyDescent="0.2">
      <c r="A39" s="7" t="s">
        <v>622</v>
      </c>
      <c r="B39" s="7" t="s">
        <v>3115</v>
      </c>
      <c r="C39" s="7" t="s">
        <v>3116</v>
      </c>
      <c r="D39" s="7" t="s">
        <v>3117</v>
      </c>
      <c r="E39" s="7" t="s">
        <v>3118</v>
      </c>
      <c r="F39" s="7" t="s">
        <v>3117</v>
      </c>
      <c r="G39" s="7" t="s">
        <v>3117</v>
      </c>
      <c r="H39" s="7" t="s">
        <v>3118</v>
      </c>
      <c r="I39" s="7" t="s">
        <v>3117</v>
      </c>
      <c r="J39" s="7" t="s">
        <v>3116</v>
      </c>
      <c r="K39" s="7" t="s">
        <v>3157</v>
      </c>
      <c r="L39" s="7" t="s">
        <v>105</v>
      </c>
    </row>
    <row r="40" spans="1:12" ht="42" x14ac:dyDescent="0.2">
      <c r="A40" s="7" t="s">
        <v>638</v>
      </c>
      <c r="B40" s="7" t="s">
        <v>3115</v>
      </c>
      <c r="C40" s="7" t="s">
        <v>3116</v>
      </c>
      <c r="D40" s="7" t="s">
        <v>3118</v>
      </c>
      <c r="E40" s="7" t="s">
        <v>3118</v>
      </c>
      <c r="F40" s="7" t="s">
        <v>3117</v>
      </c>
      <c r="G40" s="7" t="s">
        <v>3117</v>
      </c>
      <c r="H40" s="7" t="s">
        <v>3118</v>
      </c>
      <c r="I40" s="7" t="s">
        <v>3117</v>
      </c>
      <c r="J40" s="7" t="s">
        <v>3116</v>
      </c>
      <c r="K40" s="7" t="s">
        <v>3158</v>
      </c>
      <c r="L40" s="7" t="s">
        <v>105</v>
      </c>
    </row>
    <row r="41" spans="1:12" ht="56" x14ac:dyDescent="0.2">
      <c r="A41" s="7" t="s">
        <v>654</v>
      </c>
      <c r="B41" s="7" t="s">
        <v>3115</v>
      </c>
      <c r="C41" s="7" t="s">
        <v>3116</v>
      </c>
      <c r="D41" s="7" t="s">
        <v>3118</v>
      </c>
      <c r="E41" s="7" t="s">
        <v>3118</v>
      </c>
      <c r="F41" s="7" t="s">
        <v>3117</v>
      </c>
      <c r="G41" s="7" t="s">
        <v>3117</v>
      </c>
      <c r="H41" s="7" t="s">
        <v>3118</v>
      </c>
      <c r="I41" s="7" t="s">
        <v>3117</v>
      </c>
      <c r="J41" s="7" t="s">
        <v>3116</v>
      </c>
      <c r="K41" s="7" t="s">
        <v>3159</v>
      </c>
      <c r="L41" s="7" t="s">
        <v>105</v>
      </c>
    </row>
    <row r="42" spans="1:12" ht="42" x14ac:dyDescent="0.2">
      <c r="A42" s="7" t="s">
        <v>665</v>
      </c>
      <c r="B42" s="7" t="s">
        <v>3115</v>
      </c>
      <c r="C42" s="7" t="s">
        <v>3116</v>
      </c>
      <c r="D42" s="7" t="s">
        <v>3118</v>
      </c>
      <c r="E42" s="7" t="s">
        <v>3118</v>
      </c>
      <c r="F42" s="7" t="s">
        <v>3117</v>
      </c>
      <c r="G42" s="7" t="s">
        <v>3117</v>
      </c>
      <c r="H42" s="7" t="s">
        <v>3118</v>
      </c>
      <c r="I42" s="7" t="s">
        <v>3117</v>
      </c>
      <c r="J42" s="7" t="s">
        <v>3116</v>
      </c>
      <c r="K42" s="7" t="s">
        <v>3160</v>
      </c>
      <c r="L42" s="7" t="s">
        <v>105</v>
      </c>
    </row>
    <row r="43" spans="1:12" ht="42" x14ac:dyDescent="0.2">
      <c r="A43" s="7" t="s">
        <v>675</v>
      </c>
      <c r="B43" s="7" t="s">
        <v>3115</v>
      </c>
      <c r="C43" s="7" t="s">
        <v>3116</v>
      </c>
      <c r="D43" s="7" t="s">
        <v>3116</v>
      </c>
      <c r="E43" s="7" t="s">
        <v>3118</v>
      </c>
      <c r="F43" s="7" t="s">
        <v>3117</v>
      </c>
      <c r="G43" s="7" t="s">
        <v>3117</v>
      </c>
      <c r="H43" s="7" t="s">
        <v>3118</v>
      </c>
      <c r="I43" s="7" t="s">
        <v>3117</v>
      </c>
      <c r="J43" s="7" t="s">
        <v>3116</v>
      </c>
      <c r="K43" s="7" t="s">
        <v>3161</v>
      </c>
      <c r="L43" s="7" t="s">
        <v>105</v>
      </c>
    </row>
    <row r="44" spans="1:12" ht="42" x14ac:dyDescent="0.2">
      <c r="A44" s="7" t="s">
        <v>692</v>
      </c>
      <c r="B44" s="7" t="s">
        <v>3115</v>
      </c>
      <c r="C44" s="7" t="s">
        <v>3116</v>
      </c>
      <c r="D44" s="7" t="s">
        <v>3117</v>
      </c>
      <c r="E44" s="7" t="s">
        <v>3117</v>
      </c>
      <c r="F44" s="7" t="s">
        <v>3117</v>
      </c>
      <c r="G44" s="7" t="s">
        <v>3116</v>
      </c>
      <c r="H44" s="7" t="s">
        <v>3117</v>
      </c>
      <c r="I44" s="7" t="s">
        <v>3117</v>
      </c>
      <c r="J44" s="7" t="s">
        <v>3116</v>
      </c>
      <c r="K44" s="7" t="s">
        <v>3162</v>
      </c>
      <c r="L44" s="7" t="s">
        <v>105</v>
      </c>
    </row>
    <row r="45" spans="1:12" ht="28" x14ac:dyDescent="0.2">
      <c r="A45" s="7" t="s">
        <v>708</v>
      </c>
      <c r="B45" s="7" t="s">
        <v>3115</v>
      </c>
      <c r="C45" s="7" t="s">
        <v>3116</v>
      </c>
      <c r="D45" s="7" t="s">
        <v>3117</v>
      </c>
      <c r="E45" s="7" t="s">
        <v>3116</v>
      </c>
      <c r="F45" s="7" t="s">
        <v>3117</v>
      </c>
      <c r="G45" s="7" t="s">
        <v>3117</v>
      </c>
      <c r="H45" s="7" t="s">
        <v>3116</v>
      </c>
      <c r="I45" s="7" t="s">
        <v>3117</v>
      </c>
      <c r="J45" s="7" t="s">
        <v>3116</v>
      </c>
      <c r="K45" s="7" t="s">
        <v>3163</v>
      </c>
      <c r="L45" s="7" t="s">
        <v>105</v>
      </c>
    </row>
    <row r="46" spans="1:12" ht="42" x14ac:dyDescent="0.2">
      <c r="A46" s="7" t="s">
        <v>723</v>
      </c>
      <c r="B46" s="7" t="s">
        <v>3115</v>
      </c>
      <c r="C46" s="7" t="s">
        <v>3129</v>
      </c>
      <c r="D46" s="7" t="s">
        <v>3116</v>
      </c>
      <c r="E46" s="7" t="s">
        <v>3118</v>
      </c>
      <c r="F46" s="7" t="s">
        <v>3116</v>
      </c>
      <c r="G46" s="7" t="s">
        <v>3117</v>
      </c>
      <c r="H46" s="7" t="s">
        <v>3118</v>
      </c>
      <c r="I46" s="7" t="s">
        <v>3116</v>
      </c>
      <c r="J46" s="7" t="s">
        <v>3129</v>
      </c>
      <c r="K46" s="7" t="s">
        <v>3164</v>
      </c>
      <c r="L46" s="7" t="s">
        <v>105</v>
      </c>
    </row>
    <row r="47" spans="1:12" ht="28" x14ac:dyDescent="0.2">
      <c r="A47" s="7" t="s">
        <v>738</v>
      </c>
      <c r="B47" s="7" t="s">
        <v>3115</v>
      </c>
      <c r="C47" s="7" t="s">
        <v>3116</v>
      </c>
      <c r="D47" s="7" t="s">
        <v>3117</v>
      </c>
      <c r="E47" s="7" t="s">
        <v>3118</v>
      </c>
      <c r="F47" s="7" t="s">
        <v>3117</v>
      </c>
      <c r="G47" s="7" t="s">
        <v>3117</v>
      </c>
      <c r="H47" s="7" t="s">
        <v>3118</v>
      </c>
      <c r="I47" s="7" t="s">
        <v>3117</v>
      </c>
      <c r="J47" s="7" t="s">
        <v>3116</v>
      </c>
      <c r="K47" s="7" t="s">
        <v>3165</v>
      </c>
      <c r="L47" s="7" t="s">
        <v>105</v>
      </c>
    </row>
    <row r="48" spans="1:12" ht="28" x14ac:dyDescent="0.2">
      <c r="A48" s="7" t="s">
        <v>752</v>
      </c>
      <c r="B48" s="7" t="s">
        <v>3115</v>
      </c>
      <c r="C48" s="7" t="s">
        <v>3117</v>
      </c>
      <c r="D48" s="7" t="s">
        <v>3117</v>
      </c>
      <c r="E48" s="7" t="s">
        <v>3118</v>
      </c>
      <c r="F48" s="7" t="s">
        <v>3117</v>
      </c>
      <c r="G48" s="7" t="s">
        <v>3117</v>
      </c>
      <c r="H48" s="7" t="s">
        <v>3118</v>
      </c>
      <c r="I48" s="7" t="s">
        <v>3117</v>
      </c>
      <c r="J48" s="7" t="s">
        <v>3117</v>
      </c>
      <c r="K48" s="7" t="s">
        <v>3166</v>
      </c>
      <c r="L48" s="7" t="s">
        <v>105</v>
      </c>
    </row>
    <row r="49" spans="1:12" ht="28" x14ac:dyDescent="0.2">
      <c r="A49" s="7" t="s">
        <v>766</v>
      </c>
      <c r="B49" s="7" t="s">
        <v>3115</v>
      </c>
      <c r="C49" s="7" t="s">
        <v>3116</v>
      </c>
      <c r="D49" s="7" t="s">
        <v>3116</v>
      </c>
      <c r="E49" s="7" t="s">
        <v>3118</v>
      </c>
      <c r="F49" s="7" t="s">
        <v>3116</v>
      </c>
      <c r="G49" s="7" t="s">
        <v>3117</v>
      </c>
      <c r="H49" s="7" t="s">
        <v>3117</v>
      </c>
      <c r="I49" s="7" t="s">
        <v>3116</v>
      </c>
      <c r="J49" s="7" t="s">
        <v>3116</v>
      </c>
      <c r="K49" s="7" t="s">
        <v>3167</v>
      </c>
      <c r="L49" s="7" t="s">
        <v>105</v>
      </c>
    </row>
    <row r="50" spans="1:12" ht="42" x14ac:dyDescent="0.2">
      <c r="A50" s="7" t="s">
        <v>780</v>
      </c>
      <c r="B50" s="7" t="s">
        <v>3115</v>
      </c>
      <c r="C50" s="7" t="s">
        <v>3116</v>
      </c>
      <c r="D50" s="7" t="s">
        <v>3117</v>
      </c>
      <c r="E50" s="7" t="s">
        <v>3118</v>
      </c>
      <c r="F50" s="7" t="s">
        <v>3117</v>
      </c>
      <c r="G50" s="7" t="s">
        <v>3117</v>
      </c>
      <c r="H50" s="7" t="s">
        <v>3118</v>
      </c>
      <c r="I50" s="7" t="s">
        <v>3117</v>
      </c>
      <c r="J50" s="7" t="s">
        <v>3116</v>
      </c>
      <c r="K50" s="7" t="s">
        <v>3168</v>
      </c>
      <c r="L50" s="7" t="s">
        <v>105</v>
      </c>
    </row>
    <row r="51" spans="1:12" ht="42" x14ac:dyDescent="0.2">
      <c r="A51" s="7" t="s">
        <v>793</v>
      </c>
      <c r="B51" s="7" t="s">
        <v>3115</v>
      </c>
      <c r="C51" s="7" t="s">
        <v>3116</v>
      </c>
      <c r="D51" s="7" t="s">
        <v>3117</v>
      </c>
      <c r="E51" s="7" t="s">
        <v>3118</v>
      </c>
      <c r="F51" s="7" t="s">
        <v>3116</v>
      </c>
      <c r="G51" s="7" t="s">
        <v>3117</v>
      </c>
      <c r="H51" s="7" t="s">
        <v>3118</v>
      </c>
      <c r="I51" s="7" t="s">
        <v>3117</v>
      </c>
      <c r="J51" s="7" t="s">
        <v>3116</v>
      </c>
      <c r="K51" s="7" t="s">
        <v>3169</v>
      </c>
      <c r="L51" s="7" t="s">
        <v>105</v>
      </c>
    </row>
    <row r="52" spans="1:12" ht="28" x14ac:dyDescent="0.2">
      <c r="A52" s="7" t="s">
        <v>802</v>
      </c>
      <c r="B52" s="7" t="s">
        <v>3115</v>
      </c>
      <c r="C52" s="7" t="s">
        <v>3116</v>
      </c>
      <c r="D52" s="7" t="s">
        <v>3116</v>
      </c>
      <c r="E52" s="7" t="s">
        <v>3118</v>
      </c>
      <c r="F52" s="7" t="s">
        <v>3117</v>
      </c>
      <c r="G52" s="7" t="s">
        <v>3117</v>
      </c>
      <c r="H52" s="7" t="s">
        <v>3118</v>
      </c>
      <c r="I52" s="7" t="s">
        <v>3116</v>
      </c>
      <c r="J52" s="7" t="s">
        <v>3116</v>
      </c>
      <c r="K52" s="7" t="s">
        <v>3170</v>
      </c>
      <c r="L52" s="7" t="s">
        <v>105</v>
      </c>
    </row>
    <row r="53" spans="1:12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</sheetData>
  <dataValidations count="2">
    <dataValidation type="list" allowBlank="1" sqref="B4:B400" xr:uid="{00000000-0002-0000-0600-000000000000}">
      <formula1>"ROBINS-I,RoB 2"</formula1>
      <formula2>0</formula2>
    </dataValidation>
    <dataValidation type="list" allowBlank="1" sqref="C4:J400" xr:uid="{00000000-0002-0000-0600-000001000000}">
      <formula1>"Low,Moderate,Serious,Critical,No information"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30" customWidth="1"/>
    <col min="3" max="3" width="20" customWidth="1"/>
    <col min="4" max="4" width="24" customWidth="1"/>
    <col min="5" max="7" width="14" customWidth="1"/>
    <col min="8" max="8" width="22" customWidth="1"/>
    <col min="9" max="9" width="30" customWidth="1"/>
  </cols>
  <sheetData>
    <row r="1" spans="1:9" ht="17" x14ac:dyDescent="0.2">
      <c r="A1" s="1" t="s">
        <v>3171</v>
      </c>
    </row>
    <row r="3" spans="1:9" ht="42" customHeight="1" x14ac:dyDescent="0.2">
      <c r="A3" s="5" t="s">
        <v>25</v>
      </c>
      <c r="B3" s="5" t="s">
        <v>3172</v>
      </c>
      <c r="C3" s="5" t="s">
        <v>3173</v>
      </c>
      <c r="D3" s="5" t="s">
        <v>3174</v>
      </c>
      <c r="E3" s="5" t="s">
        <v>3175</v>
      </c>
      <c r="F3" s="5" t="s">
        <v>3176</v>
      </c>
      <c r="G3" s="5" t="s">
        <v>3177</v>
      </c>
      <c r="H3" s="5" t="s">
        <v>3178</v>
      </c>
      <c r="I3" s="5" t="s">
        <v>3179</v>
      </c>
    </row>
    <row r="4" spans="1:9" ht="28" x14ac:dyDescent="0.2">
      <c r="A4" s="6" t="s">
        <v>55</v>
      </c>
      <c r="B4" s="6" t="s">
        <v>3180</v>
      </c>
      <c r="C4" s="6" t="s">
        <v>3181</v>
      </c>
      <c r="D4" s="6" t="s">
        <v>3182</v>
      </c>
      <c r="E4" s="6" t="s">
        <v>3183</v>
      </c>
      <c r="F4" s="6"/>
      <c r="G4" s="6"/>
      <c r="H4" s="6" t="s">
        <v>3184</v>
      </c>
      <c r="I4" s="6" t="s">
        <v>854</v>
      </c>
    </row>
    <row r="5" spans="1:9" x14ac:dyDescent="0.2">
      <c r="A5" s="8"/>
      <c r="B5" s="8"/>
      <c r="C5" s="8"/>
      <c r="D5" s="8"/>
      <c r="E5" s="8"/>
      <c r="F5" s="8"/>
      <c r="G5" s="8"/>
      <c r="H5" s="8"/>
      <c r="I5" s="8"/>
    </row>
    <row r="6" spans="1:9" x14ac:dyDescent="0.2">
      <c r="A6" s="8"/>
      <c r="B6" s="8"/>
      <c r="C6" s="8"/>
      <c r="D6" s="8"/>
      <c r="E6" s="8"/>
      <c r="F6" s="8"/>
      <c r="G6" s="8"/>
      <c r="H6" s="8"/>
      <c r="I6" s="8"/>
    </row>
    <row r="7" spans="1:9" x14ac:dyDescent="0.2">
      <c r="A7" s="8"/>
      <c r="B7" s="8"/>
      <c r="C7" s="8"/>
      <c r="D7" s="8"/>
      <c r="E7" s="8"/>
      <c r="F7" s="8"/>
      <c r="G7" s="8"/>
      <c r="H7" s="8"/>
      <c r="I7" s="8"/>
    </row>
    <row r="8" spans="1:9" x14ac:dyDescent="0.2">
      <c r="A8" s="8"/>
      <c r="B8" s="8"/>
      <c r="C8" s="8"/>
      <c r="D8" s="8"/>
      <c r="E8" s="8"/>
      <c r="F8" s="8"/>
      <c r="G8" s="8"/>
      <c r="H8" s="8"/>
      <c r="I8" s="8"/>
    </row>
    <row r="9" spans="1:9" x14ac:dyDescent="0.2">
      <c r="A9" s="8"/>
      <c r="B9" s="8"/>
      <c r="C9" s="8"/>
      <c r="D9" s="8"/>
      <c r="E9" s="8"/>
      <c r="F9" s="8"/>
      <c r="G9" s="8"/>
      <c r="H9" s="8"/>
      <c r="I9" s="8"/>
    </row>
    <row r="10" spans="1:9" x14ac:dyDescent="0.2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2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2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2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2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2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2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2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2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2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2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2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2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2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2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2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2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2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2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2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2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2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2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2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2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2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2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2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">
      <c r="A59" s="8"/>
      <c r="B59" s="8"/>
      <c r="C59" s="8"/>
      <c r="D59" s="8"/>
      <c r="E59" s="8"/>
      <c r="F59" s="8"/>
      <c r="G59" s="8"/>
      <c r="H59" s="8"/>
      <c r="I59" s="8"/>
    </row>
  </sheetData>
  <dataValidations count="1">
    <dataValidation type="list" allowBlank="1" sqref="H4:H400" xr:uid="{00000000-0002-0000-0700-000000000000}">
      <formula1>"Not required,Not started,Attempt 1 sent,Attempt 2 sent,Attempt 3 sent,Responded - data received,Responded - declined,No response (closed)"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8" customWidth="1"/>
    <col min="4" max="4" width="20" customWidth="1"/>
    <col min="5" max="5" width="16" customWidth="1"/>
    <col min="6" max="6" width="14" customWidth="1"/>
    <col min="7" max="7" width="24" customWidth="1"/>
    <col min="8" max="8" width="20" customWidth="1"/>
    <col min="9" max="9" width="10" customWidth="1"/>
    <col min="10" max="11" width="14" customWidth="1"/>
    <col min="12" max="12" width="30" customWidth="1"/>
    <col min="14" max="14" width="22" customWidth="1"/>
    <col min="15" max="15" width="10" customWidth="1"/>
  </cols>
  <sheetData>
    <row r="1" spans="1:15" ht="17" x14ac:dyDescent="0.2">
      <c r="A1" s="1" t="s">
        <v>3185</v>
      </c>
    </row>
    <row r="2" spans="1:15" x14ac:dyDescent="0.2">
      <c r="N2" s="9" t="s">
        <v>3186</v>
      </c>
    </row>
    <row r="3" spans="1:15" ht="42" customHeight="1" x14ac:dyDescent="0.2">
      <c r="A3" s="5" t="s">
        <v>25</v>
      </c>
      <c r="B3" s="5" t="s">
        <v>3187</v>
      </c>
      <c r="C3" s="5" t="s">
        <v>3188</v>
      </c>
      <c r="D3" s="5" t="s">
        <v>48</v>
      </c>
      <c r="E3" s="5" t="s">
        <v>36</v>
      </c>
      <c r="F3" s="5" t="s">
        <v>3189</v>
      </c>
      <c r="G3" s="5" t="s">
        <v>3190</v>
      </c>
      <c r="H3" s="5" t="s">
        <v>3191</v>
      </c>
      <c r="I3" s="5" t="s">
        <v>3192</v>
      </c>
      <c r="J3" s="5" t="s">
        <v>3193</v>
      </c>
      <c r="K3" s="5" t="s">
        <v>3194</v>
      </c>
      <c r="L3" s="5" t="s">
        <v>54</v>
      </c>
      <c r="N3" s="10" t="s">
        <v>3195</v>
      </c>
      <c r="O3" s="11">
        <f>COUNTA(A5:A80)-COUNTBLANK(A5:A80)*0</f>
        <v>48</v>
      </c>
    </row>
    <row r="4" spans="1:15" x14ac:dyDescent="0.2">
      <c r="A4" s="6" t="s">
        <v>55</v>
      </c>
      <c r="B4" s="6" t="s">
        <v>56</v>
      </c>
      <c r="C4" s="6" t="s">
        <v>57</v>
      </c>
      <c r="D4" s="6" t="s">
        <v>78</v>
      </c>
      <c r="E4" s="6" t="s">
        <v>3196</v>
      </c>
      <c r="F4" s="6" t="s">
        <v>77</v>
      </c>
      <c r="G4" s="6" t="s">
        <v>58</v>
      </c>
      <c r="H4" s="6" t="s">
        <v>3193</v>
      </c>
      <c r="I4" s="6" t="s">
        <v>3197</v>
      </c>
      <c r="J4" s="6" t="s">
        <v>77</v>
      </c>
      <c r="K4" s="6" t="s">
        <v>80</v>
      </c>
      <c r="L4" s="6" t="s">
        <v>83</v>
      </c>
      <c r="N4" s="10" t="s">
        <v>78</v>
      </c>
      <c r="O4" s="11">
        <f>COUNTIF(D5:D80,"Include - network")</f>
        <v>9</v>
      </c>
    </row>
    <row r="5" spans="1:15" ht="98" x14ac:dyDescent="0.2">
      <c r="A5" s="7" t="s">
        <v>84</v>
      </c>
      <c r="B5" s="7" t="s">
        <v>85</v>
      </c>
      <c r="C5" s="7" t="s">
        <v>86</v>
      </c>
      <c r="D5" s="7" t="s">
        <v>102</v>
      </c>
      <c r="E5" s="7" t="s">
        <v>66</v>
      </c>
      <c r="F5" s="7" t="s">
        <v>104</v>
      </c>
      <c r="G5" s="7" t="s">
        <v>87</v>
      </c>
      <c r="H5" s="7" t="s">
        <v>3198</v>
      </c>
      <c r="I5" s="7" t="s">
        <v>3118</v>
      </c>
      <c r="J5" s="7" t="s">
        <v>80</v>
      </c>
      <c r="K5" s="7" t="s">
        <v>80</v>
      </c>
      <c r="L5" s="7" t="s">
        <v>106</v>
      </c>
      <c r="N5" s="10" t="s">
        <v>208</v>
      </c>
      <c r="O5" s="11">
        <f>COUNTIF(D5:D80,"Include - pairwise only")</f>
        <v>8</v>
      </c>
    </row>
    <row r="6" spans="1:15" ht="112" x14ac:dyDescent="0.2">
      <c r="A6" s="7" t="s">
        <v>107</v>
      </c>
      <c r="B6" s="7" t="s">
        <v>108</v>
      </c>
      <c r="C6" s="7" t="s">
        <v>109</v>
      </c>
      <c r="D6" s="7" t="s">
        <v>102</v>
      </c>
      <c r="E6" s="7" t="s">
        <v>66</v>
      </c>
      <c r="F6" s="7" t="s">
        <v>77</v>
      </c>
      <c r="G6" s="7" t="s">
        <v>110</v>
      </c>
      <c r="H6" s="7" t="s">
        <v>3198</v>
      </c>
      <c r="I6" s="7" t="s">
        <v>3118</v>
      </c>
      <c r="J6" s="7" t="s">
        <v>80</v>
      </c>
      <c r="K6" s="7" t="s">
        <v>80</v>
      </c>
      <c r="L6" s="7" t="s">
        <v>124</v>
      </c>
      <c r="N6" s="10" t="s">
        <v>3199</v>
      </c>
      <c r="O6" s="11">
        <f>COUNTIF(D5:D80,"Exclude")</f>
        <v>0</v>
      </c>
    </row>
    <row r="7" spans="1:15" ht="154" x14ac:dyDescent="0.2">
      <c r="A7" s="7" t="s">
        <v>125</v>
      </c>
      <c r="B7" s="7" t="s">
        <v>126</v>
      </c>
      <c r="C7" s="7" t="s">
        <v>109</v>
      </c>
      <c r="D7" s="7" t="s">
        <v>102</v>
      </c>
      <c r="E7" s="7" t="s">
        <v>66</v>
      </c>
      <c r="F7" s="7" t="s">
        <v>77</v>
      </c>
      <c r="G7" s="7" t="s">
        <v>127</v>
      </c>
      <c r="H7" s="7" t="s">
        <v>3198</v>
      </c>
      <c r="I7" s="7" t="s">
        <v>3118</v>
      </c>
      <c r="J7" s="7" t="s">
        <v>80</v>
      </c>
      <c r="K7" s="7" t="s">
        <v>80</v>
      </c>
      <c r="L7" s="7" t="s">
        <v>143</v>
      </c>
      <c r="N7" s="10" t="s">
        <v>3193</v>
      </c>
      <c r="O7" s="11">
        <f>COUNTIF(J5:J80,"Yes")</f>
        <v>0</v>
      </c>
    </row>
    <row r="8" spans="1:15" ht="112" x14ac:dyDescent="0.2">
      <c r="A8" s="7" t="s">
        <v>144</v>
      </c>
      <c r="B8" s="7" t="s">
        <v>145</v>
      </c>
      <c r="C8" s="7" t="s">
        <v>146</v>
      </c>
      <c r="D8" s="7" t="s">
        <v>102</v>
      </c>
      <c r="E8" s="7" t="s">
        <v>116</v>
      </c>
      <c r="F8" s="7" t="s">
        <v>77</v>
      </c>
      <c r="G8" s="7" t="s">
        <v>147</v>
      </c>
      <c r="H8" s="7" t="s">
        <v>3198</v>
      </c>
      <c r="I8" s="7" t="s">
        <v>3118</v>
      </c>
      <c r="J8" s="7" t="s">
        <v>80</v>
      </c>
      <c r="K8" s="7" t="s">
        <v>80</v>
      </c>
      <c r="L8" s="7" t="s">
        <v>159</v>
      </c>
      <c r="N8" s="10" t="s">
        <v>3194</v>
      </c>
      <c r="O8" s="11">
        <f>COUNTIF(K5:K80,"Yes")</f>
        <v>0</v>
      </c>
    </row>
    <row r="9" spans="1:15" ht="168" x14ac:dyDescent="0.2">
      <c r="A9" s="7" t="s">
        <v>160</v>
      </c>
      <c r="B9" s="7" t="s">
        <v>161</v>
      </c>
      <c r="C9" s="7" t="s">
        <v>162</v>
      </c>
      <c r="D9" s="7" t="s">
        <v>102</v>
      </c>
      <c r="E9" s="7" t="s">
        <v>66</v>
      </c>
      <c r="F9" s="7" t="s">
        <v>77</v>
      </c>
      <c r="G9" s="7" t="s">
        <v>163</v>
      </c>
      <c r="H9" s="7" t="s">
        <v>3198</v>
      </c>
      <c r="I9" s="7" t="s">
        <v>3118</v>
      </c>
      <c r="J9" s="7" t="s">
        <v>80</v>
      </c>
      <c r="K9" s="7" t="s">
        <v>80</v>
      </c>
      <c r="L9" s="7" t="s">
        <v>174</v>
      </c>
      <c r="N9" s="10" t="s">
        <v>3200</v>
      </c>
      <c r="O9" s="11">
        <f>COUNTIF(H5:H80,"Reconciled / consensus")</f>
        <v>0</v>
      </c>
    </row>
    <row r="10" spans="1:15" ht="126" x14ac:dyDescent="0.2">
      <c r="A10" s="7" t="s">
        <v>175</v>
      </c>
      <c r="B10" s="7" t="s">
        <v>176</v>
      </c>
      <c r="C10" s="7" t="s">
        <v>177</v>
      </c>
      <c r="D10" s="7" t="s">
        <v>102</v>
      </c>
      <c r="E10" s="7" t="s">
        <v>66</v>
      </c>
      <c r="F10" s="7" t="s">
        <v>77</v>
      </c>
      <c r="G10" s="7" t="s">
        <v>178</v>
      </c>
      <c r="H10" s="7" t="s">
        <v>3198</v>
      </c>
      <c r="I10" s="7" t="s">
        <v>3118</v>
      </c>
      <c r="J10" s="7" t="s">
        <v>80</v>
      </c>
      <c r="K10" s="7" t="s">
        <v>80</v>
      </c>
      <c r="L10" s="7" t="s">
        <v>191</v>
      </c>
    </row>
    <row r="11" spans="1:15" ht="154" x14ac:dyDescent="0.2">
      <c r="A11" s="7" t="s">
        <v>192</v>
      </c>
      <c r="B11" s="7" t="s">
        <v>193</v>
      </c>
      <c r="C11" s="7" t="s">
        <v>194</v>
      </c>
      <c r="D11" s="7" t="s">
        <v>208</v>
      </c>
      <c r="E11" s="7" t="s">
        <v>66</v>
      </c>
      <c r="F11" s="7" t="s">
        <v>77</v>
      </c>
      <c r="G11" s="7" t="s">
        <v>195</v>
      </c>
      <c r="H11" s="7" t="s">
        <v>3198</v>
      </c>
      <c r="I11" s="7" t="s">
        <v>3197</v>
      </c>
      <c r="J11" s="7" t="s">
        <v>80</v>
      </c>
      <c r="K11" s="7" t="s">
        <v>80</v>
      </c>
      <c r="L11" s="7" t="s">
        <v>210</v>
      </c>
    </row>
    <row r="12" spans="1:15" ht="126" x14ac:dyDescent="0.2">
      <c r="A12" s="7" t="s">
        <v>211</v>
      </c>
      <c r="B12" s="7" t="s">
        <v>212</v>
      </c>
      <c r="C12" s="7" t="s">
        <v>162</v>
      </c>
      <c r="D12" s="7" t="s">
        <v>102</v>
      </c>
      <c r="E12" s="7" t="s">
        <v>66</v>
      </c>
      <c r="F12" s="7" t="s">
        <v>77</v>
      </c>
      <c r="G12" s="7" t="s">
        <v>213</v>
      </c>
      <c r="H12" s="7" t="s">
        <v>3198</v>
      </c>
      <c r="I12" s="7" t="s">
        <v>3118</v>
      </c>
      <c r="J12" s="7" t="s">
        <v>80</v>
      </c>
      <c r="K12" s="7" t="s">
        <v>80</v>
      </c>
      <c r="L12" s="7" t="s">
        <v>226</v>
      </c>
    </row>
    <row r="13" spans="1:15" ht="56" x14ac:dyDescent="0.2">
      <c r="A13" s="7" t="s">
        <v>227</v>
      </c>
      <c r="B13" s="7" t="s">
        <v>228</v>
      </c>
      <c r="C13" s="7" t="s">
        <v>146</v>
      </c>
      <c r="D13" s="7" t="s">
        <v>102</v>
      </c>
      <c r="E13" s="7" t="s">
        <v>66</v>
      </c>
      <c r="F13" s="7" t="s">
        <v>77</v>
      </c>
      <c r="G13" s="7" t="s">
        <v>229</v>
      </c>
      <c r="H13" s="7" t="s">
        <v>3198</v>
      </c>
      <c r="I13" s="7" t="s">
        <v>3118</v>
      </c>
      <c r="J13" s="7" t="s">
        <v>80</v>
      </c>
      <c r="K13" s="7" t="s">
        <v>80</v>
      </c>
      <c r="L13" s="7" t="s">
        <v>243</v>
      </c>
    </row>
    <row r="14" spans="1:15" ht="70" x14ac:dyDescent="0.2">
      <c r="A14" s="7" t="s">
        <v>244</v>
      </c>
      <c r="B14" s="7" t="s">
        <v>245</v>
      </c>
      <c r="C14" s="7" t="s">
        <v>109</v>
      </c>
      <c r="D14" s="7" t="s">
        <v>102</v>
      </c>
      <c r="E14" s="7" t="s">
        <v>66</v>
      </c>
      <c r="F14" s="7" t="s">
        <v>77</v>
      </c>
      <c r="G14" s="7" t="s">
        <v>246</v>
      </c>
      <c r="H14" s="7" t="s">
        <v>3198</v>
      </c>
      <c r="I14" s="7" t="s">
        <v>3118</v>
      </c>
      <c r="J14" s="7" t="s">
        <v>80</v>
      </c>
      <c r="K14" s="7" t="s">
        <v>80</v>
      </c>
      <c r="L14" s="7" t="s">
        <v>257</v>
      </c>
    </row>
    <row r="15" spans="1:15" ht="70" x14ac:dyDescent="0.2">
      <c r="A15" s="7" t="s">
        <v>258</v>
      </c>
      <c r="B15" s="7" t="s">
        <v>259</v>
      </c>
      <c r="C15" s="7" t="s">
        <v>177</v>
      </c>
      <c r="D15" s="7" t="s">
        <v>102</v>
      </c>
      <c r="E15" s="7" t="s">
        <v>66</v>
      </c>
      <c r="F15" s="7" t="s">
        <v>77</v>
      </c>
      <c r="G15" s="7" t="s">
        <v>260</v>
      </c>
      <c r="H15" s="7" t="s">
        <v>3198</v>
      </c>
      <c r="I15" s="7" t="s">
        <v>3118</v>
      </c>
      <c r="J15" s="7" t="s">
        <v>80</v>
      </c>
      <c r="K15" s="7" t="s">
        <v>80</v>
      </c>
      <c r="L15" s="7" t="s">
        <v>270</v>
      </c>
    </row>
    <row r="16" spans="1:15" ht="98" x14ac:dyDescent="0.2">
      <c r="A16" s="7" t="s">
        <v>271</v>
      </c>
      <c r="B16" s="7" t="s">
        <v>272</v>
      </c>
      <c r="C16" s="7" t="s">
        <v>57</v>
      </c>
      <c r="D16" s="7" t="s">
        <v>78</v>
      </c>
      <c r="E16" s="7" t="s">
        <v>66</v>
      </c>
      <c r="F16" s="7" t="s">
        <v>77</v>
      </c>
      <c r="G16" s="7" t="s">
        <v>273</v>
      </c>
      <c r="H16" s="7" t="s">
        <v>3198</v>
      </c>
      <c r="I16" s="7" t="s">
        <v>3197</v>
      </c>
      <c r="J16" s="7" t="s">
        <v>80</v>
      </c>
      <c r="K16" s="7" t="s">
        <v>80</v>
      </c>
      <c r="L16" s="7" t="s">
        <v>286</v>
      </c>
    </row>
    <row r="17" spans="1:12" ht="84" x14ac:dyDescent="0.2">
      <c r="A17" s="7" t="s">
        <v>287</v>
      </c>
      <c r="B17" s="7" t="s">
        <v>288</v>
      </c>
      <c r="C17" s="7" t="s">
        <v>109</v>
      </c>
      <c r="D17" s="7" t="s">
        <v>102</v>
      </c>
      <c r="E17" s="7" t="s">
        <v>66</v>
      </c>
      <c r="F17" s="7" t="s">
        <v>77</v>
      </c>
      <c r="G17" s="7" t="s">
        <v>289</v>
      </c>
      <c r="H17" s="7" t="s">
        <v>3198</v>
      </c>
      <c r="I17" s="7" t="s">
        <v>3118</v>
      </c>
      <c r="J17" s="7" t="s">
        <v>80</v>
      </c>
      <c r="K17" s="7" t="s">
        <v>80</v>
      </c>
      <c r="L17" s="7" t="s">
        <v>302</v>
      </c>
    </row>
    <row r="18" spans="1:12" ht="98" x14ac:dyDescent="0.2">
      <c r="A18" s="7" t="s">
        <v>303</v>
      </c>
      <c r="B18" s="7" t="s">
        <v>304</v>
      </c>
      <c r="C18" s="7" t="s">
        <v>57</v>
      </c>
      <c r="D18" s="7" t="s">
        <v>102</v>
      </c>
      <c r="E18" s="7" t="s">
        <v>116</v>
      </c>
      <c r="F18" s="7" t="s">
        <v>80</v>
      </c>
      <c r="G18" s="7" t="s">
        <v>305</v>
      </c>
      <c r="H18" s="7" t="s">
        <v>3198</v>
      </c>
      <c r="I18" s="7" t="s">
        <v>3118</v>
      </c>
      <c r="J18" s="7" t="s">
        <v>80</v>
      </c>
      <c r="K18" s="7" t="s">
        <v>80</v>
      </c>
      <c r="L18" s="7" t="s">
        <v>317</v>
      </c>
    </row>
    <row r="19" spans="1:12" ht="84" x14ac:dyDescent="0.2">
      <c r="A19" s="7" t="s">
        <v>318</v>
      </c>
      <c r="B19" s="7" t="s">
        <v>319</v>
      </c>
      <c r="C19" s="7" t="s">
        <v>57</v>
      </c>
      <c r="D19" s="7" t="s">
        <v>102</v>
      </c>
      <c r="E19" s="7" t="s">
        <v>66</v>
      </c>
      <c r="F19" s="7" t="s">
        <v>77</v>
      </c>
      <c r="G19" s="7" t="s">
        <v>320</v>
      </c>
      <c r="H19" s="7" t="s">
        <v>3198</v>
      </c>
      <c r="I19" s="7" t="s">
        <v>3118</v>
      </c>
      <c r="J19" s="7" t="s">
        <v>80</v>
      </c>
      <c r="K19" s="7" t="s">
        <v>80</v>
      </c>
      <c r="L19" s="7" t="s">
        <v>334</v>
      </c>
    </row>
    <row r="20" spans="1:12" ht="70" x14ac:dyDescent="0.2">
      <c r="A20" s="7" t="s">
        <v>335</v>
      </c>
      <c r="B20" s="7" t="s">
        <v>336</v>
      </c>
      <c r="C20" s="7" t="s">
        <v>86</v>
      </c>
      <c r="D20" s="7" t="s">
        <v>102</v>
      </c>
      <c r="E20" s="7" t="s">
        <v>116</v>
      </c>
      <c r="F20" s="7" t="s">
        <v>77</v>
      </c>
      <c r="G20" s="7" t="s">
        <v>337</v>
      </c>
      <c r="H20" s="7" t="s">
        <v>3198</v>
      </c>
      <c r="I20" s="7" t="s">
        <v>3118</v>
      </c>
      <c r="J20" s="7" t="s">
        <v>80</v>
      </c>
      <c r="K20" s="7" t="s">
        <v>80</v>
      </c>
      <c r="L20" s="7" t="s">
        <v>352</v>
      </c>
    </row>
    <row r="21" spans="1:12" ht="126" x14ac:dyDescent="0.2">
      <c r="A21" s="7" t="s">
        <v>353</v>
      </c>
      <c r="B21" s="7" t="s">
        <v>354</v>
      </c>
      <c r="C21" s="7" t="s">
        <v>109</v>
      </c>
      <c r="D21" s="7" t="s">
        <v>369</v>
      </c>
      <c r="E21" s="7" t="s">
        <v>66</v>
      </c>
      <c r="F21" s="7" t="s">
        <v>77</v>
      </c>
      <c r="G21" s="7" t="s">
        <v>355</v>
      </c>
      <c r="H21" s="7" t="s">
        <v>3198</v>
      </c>
      <c r="I21" s="7" t="s">
        <v>3197</v>
      </c>
      <c r="J21" s="7" t="s">
        <v>80</v>
      </c>
      <c r="K21" s="7" t="s">
        <v>80</v>
      </c>
      <c r="L21" s="7" t="s">
        <v>371</v>
      </c>
    </row>
    <row r="22" spans="1:12" ht="56" x14ac:dyDescent="0.2">
      <c r="A22" s="7" t="s">
        <v>372</v>
      </c>
      <c r="B22" s="7" t="s">
        <v>373</v>
      </c>
      <c r="C22" s="7" t="s">
        <v>146</v>
      </c>
      <c r="D22" s="7" t="s">
        <v>208</v>
      </c>
      <c r="E22" s="7" t="s">
        <v>66</v>
      </c>
      <c r="F22" s="7" t="s">
        <v>77</v>
      </c>
      <c r="G22" s="7" t="s">
        <v>374</v>
      </c>
      <c r="H22" s="7" t="s">
        <v>3198</v>
      </c>
      <c r="I22" s="7" t="s">
        <v>3197</v>
      </c>
      <c r="J22" s="7" t="s">
        <v>80</v>
      </c>
      <c r="K22" s="7" t="s">
        <v>80</v>
      </c>
      <c r="L22" s="7" t="s">
        <v>385</v>
      </c>
    </row>
    <row r="23" spans="1:12" ht="84" x14ac:dyDescent="0.2">
      <c r="A23" s="7" t="s">
        <v>386</v>
      </c>
      <c r="B23" s="7" t="s">
        <v>373</v>
      </c>
      <c r="C23" s="7" t="s">
        <v>146</v>
      </c>
      <c r="D23" s="7" t="s">
        <v>102</v>
      </c>
      <c r="E23" s="7" t="s">
        <v>66</v>
      </c>
      <c r="F23" s="7" t="s">
        <v>80</v>
      </c>
      <c r="G23" s="7" t="s">
        <v>387</v>
      </c>
      <c r="H23" s="7" t="s">
        <v>3198</v>
      </c>
      <c r="I23" s="7" t="s">
        <v>3118</v>
      </c>
      <c r="J23" s="7" t="s">
        <v>80</v>
      </c>
      <c r="K23" s="7" t="s">
        <v>80</v>
      </c>
      <c r="L23" s="7" t="s">
        <v>399</v>
      </c>
    </row>
    <row r="24" spans="1:12" ht="70" x14ac:dyDescent="0.2">
      <c r="A24" s="7" t="s">
        <v>400</v>
      </c>
      <c r="B24" s="7" t="s">
        <v>373</v>
      </c>
      <c r="C24" s="7" t="s">
        <v>146</v>
      </c>
      <c r="D24" s="7" t="s">
        <v>369</v>
      </c>
      <c r="E24" s="7" t="s">
        <v>66</v>
      </c>
      <c r="F24" s="7" t="s">
        <v>77</v>
      </c>
      <c r="G24" s="7" t="s">
        <v>401</v>
      </c>
      <c r="H24" s="7" t="s">
        <v>3198</v>
      </c>
      <c r="I24" s="7" t="s">
        <v>3197</v>
      </c>
      <c r="J24" s="7" t="s">
        <v>80</v>
      </c>
      <c r="K24" s="7" t="s">
        <v>80</v>
      </c>
      <c r="L24" s="7" t="s">
        <v>413</v>
      </c>
    </row>
    <row r="25" spans="1:12" ht="70" x14ac:dyDescent="0.2">
      <c r="A25" s="7" t="s">
        <v>414</v>
      </c>
      <c r="B25" s="7" t="s">
        <v>415</v>
      </c>
      <c r="C25" s="7" t="s">
        <v>57</v>
      </c>
      <c r="D25" s="7" t="s">
        <v>102</v>
      </c>
      <c r="E25" s="7" t="s">
        <v>116</v>
      </c>
      <c r="F25" s="7" t="s">
        <v>80</v>
      </c>
      <c r="G25" s="7" t="s">
        <v>416</v>
      </c>
      <c r="H25" s="7" t="s">
        <v>3198</v>
      </c>
      <c r="I25" s="7" t="s">
        <v>3118</v>
      </c>
      <c r="J25" s="7" t="s">
        <v>80</v>
      </c>
      <c r="K25" s="7" t="s">
        <v>80</v>
      </c>
      <c r="L25" s="7" t="s">
        <v>428</v>
      </c>
    </row>
    <row r="26" spans="1:12" ht="98" x14ac:dyDescent="0.2">
      <c r="A26" s="7" t="s">
        <v>429</v>
      </c>
      <c r="B26" s="7" t="s">
        <v>415</v>
      </c>
      <c r="C26" s="7" t="s">
        <v>194</v>
      </c>
      <c r="D26" s="7" t="s">
        <v>78</v>
      </c>
      <c r="E26" s="7" t="s">
        <v>66</v>
      </c>
      <c r="F26" s="7" t="s">
        <v>77</v>
      </c>
      <c r="G26" s="7" t="s">
        <v>430</v>
      </c>
      <c r="H26" s="7" t="s">
        <v>3198</v>
      </c>
      <c r="I26" s="7" t="s">
        <v>3197</v>
      </c>
      <c r="J26" s="7" t="s">
        <v>80</v>
      </c>
      <c r="K26" s="7" t="s">
        <v>80</v>
      </c>
      <c r="L26" s="7" t="s">
        <v>441</v>
      </c>
    </row>
    <row r="27" spans="1:12" ht="98" x14ac:dyDescent="0.2">
      <c r="A27" s="7" t="s">
        <v>442</v>
      </c>
      <c r="B27" s="7" t="s">
        <v>443</v>
      </c>
      <c r="C27" s="7" t="s">
        <v>64</v>
      </c>
      <c r="D27" s="7" t="s">
        <v>369</v>
      </c>
      <c r="E27" s="7" t="s">
        <v>66</v>
      </c>
      <c r="F27" s="7" t="s">
        <v>77</v>
      </c>
      <c r="G27" s="7" t="s">
        <v>444</v>
      </c>
      <c r="H27" s="7" t="s">
        <v>3198</v>
      </c>
      <c r="I27" s="7" t="s">
        <v>3197</v>
      </c>
      <c r="J27" s="7" t="s">
        <v>80</v>
      </c>
      <c r="K27" s="7" t="s">
        <v>80</v>
      </c>
      <c r="L27" s="7" t="s">
        <v>455</v>
      </c>
    </row>
    <row r="28" spans="1:12" ht="70" x14ac:dyDescent="0.2">
      <c r="A28" s="7" t="s">
        <v>456</v>
      </c>
      <c r="B28" s="7" t="s">
        <v>457</v>
      </c>
      <c r="C28" s="7" t="s">
        <v>109</v>
      </c>
      <c r="D28" s="7" t="s">
        <v>102</v>
      </c>
      <c r="E28" s="7" t="s">
        <v>66</v>
      </c>
      <c r="F28" s="7" t="s">
        <v>80</v>
      </c>
      <c r="G28" s="7" t="s">
        <v>458</v>
      </c>
      <c r="H28" s="7" t="s">
        <v>3198</v>
      </c>
      <c r="I28" s="7" t="s">
        <v>3118</v>
      </c>
      <c r="J28" s="7" t="s">
        <v>80</v>
      </c>
      <c r="K28" s="7" t="s">
        <v>80</v>
      </c>
      <c r="L28" s="7" t="s">
        <v>471</v>
      </c>
    </row>
    <row r="29" spans="1:12" ht="112" x14ac:dyDescent="0.2">
      <c r="A29" s="7" t="s">
        <v>472</v>
      </c>
      <c r="B29" s="7" t="s">
        <v>473</v>
      </c>
      <c r="C29" s="7" t="s">
        <v>162</v>
      </c>
      <c r="D29" s="7" t="s">
        <v>208</v>
      </c>
      <c r="E29" s="7" t="s">
        <v>116</v>
      </c>
      <c r="F29" s="7" t="s">
        <v>77</v>
      </c>
      <c r="G29" s="7" t="s">
        <v>474</v>
      </c>
      <c r="H29" s="7" t="s">
        <v>3198</v>
      </c>
      <c r="I29" s="7" t="s">
        <v>3197</v>
      </c>
      <c r="J29" s="7" t="s">
        <v>80</v>
      </c>
      <c r="K29" s="7" t="s">
        <v>80</v>
      </c>
      <c r="L29" s="7" t="s">
        <v>485</v>
      </c>
    </row>
    <row r="30" spans="1:12" ht="126" x14ac:dyDescent="0.2">
      <c r="A30" s="7" t="s">
        <v>486</v>
      </c>
      <c r="B30" s="7" t="s">
        <v>487</v>
      </c>
      <c r="C30" s="7" t="s">
        <v>146</v>
      </c>
      <c r="D30" s="7" t="s">
        <v>208</v>
      </c>
      <c r="E30" s="7" t="s">
        <v>66</v>
      </c>
      <c r="F30" s="7" t="s">
        <v>77</v>
      </c>
      <c r="G30" s="7" t="s">
        <v>488</v>
      </c>
      <c r="H30" s="7" t="s">
        <v>3198</v>
      </c>
      <c r="I30" s="7" t="s">
        <v>3197</v>
      </c>
      <c r="J30" s="7" t="s">
        <v>80</v>
      </c>
      <c r="K30" s="7" t="s">
        <v>80</v>
      </c>
      <c r="L30" s="7" t="s">
        <v>500</v>
      </c>
    </row>
    <row r="31" spans="1:12" ht="112" x14ac:dyDescent="0.2">
      <c r="A31" s="7" t="s">
        <v>501</v>
      </c>
      <c r="B31" s="7" t="s">
        <v>502</v>
      </c>
      <c r="C31" s="7" t="s">
        <v>503</v>
      </c>
      <c r="D31" s="7" t="s">
        <v>208</v>
      </c>
      <c r="E31" s="7" t="s">
        <v>66</v>
      </c>
      <c r="F31" s="7" t="s">
        <v>77</v>
      </c>
      <c r="G31" s="7" t="s">
        <v>504</v>
      </c>
      <c r="H31" s="7" t="s">
        <v>3198</v>
      </c>
      <c r="I31" s="7" t="s">
        <v>3197</v>
      </c>
      <c r="J31" s="7" t="s">
        <v>80</v>
      </c>
      <c r="K31" s="7" t="s">
        <v>80</v>
      </c>
      <c r="L31" s="7" t="s">
        <v>515</v>
      </c>
    </row>
    <row r="32" spans="1:12" ht="98" x14ac:dyDescent="0.2">
      <c r="A32" s="7" t="s">
        <v>516</v>
      </c>
      <c r="B32" s="7" t="s">
        <v>517</v>
      </c>
      <c r="C32" s="7" t="s">
        <v>503</v>
      </c>
      <c r="D32" s="7" t="s">
        <v>102</v>
      </c>
      <c r="E32" s="7" t="s">
        <v>66</v>
      </c>
      <c r="F32" s="7" t="s">
        <v>80</v>
      </c>
      <c r="G32" s="7" t="s">
        <v>518</v>
      </c>
      <c r="H32" s="7" t="s">
        <v>3198</v>
      </c>
      <c r="I32" s="7" t="s">
        <v>3118</v>
      </c>
      <c r="J32" s="7" t="s">
        <v>80</v>
      </c>
      <c r="K32" s="7" t="s">
        <v>80</v>
      </c>
      <c r="L32" s="7" t="s">
        <v>531</v>
      </c>
    </row>
    <row r="33" spans="1:12" ht="56" x14ac:dyDescent="0.2">
      <c r="A33" s="7" t="s">
        <v>532</v>
      </c>
      <c r="B33" s="7" t="s">
        <v>533</v>
      </c>
      <c r="C33" s="7" t="s">
        <v>534</v>
      </c>
      <c r="D33" s="7" t="s">
        <v>102</v>
      </c>
      <c r="E33" s="7" t="s">
        <v>66</v>
      </c>
      <c r="F33" s="7" t="s">
        <v>80</v>
      </c>
      <c r="G33" s="7" t="s">
        <v>535</v>
      </c>
      <c r="H33" s="7" t="s">
        <v>3198</v>
      </c>
      <c r="I33" s="7" t="s">
        <v>3118</v>
      </c>
      <c r="J33" s="7" t="s">
        <v>80</v>
      </c>
      <c r="K33" s="7" t="s">
        <v>80</v>
      </c>
      <c r="L33" s="7" t="s">
        <v>547</v>
      </c>
    </row>
    <row r="34" spans="1:12" ht="126" x14ac:dyDescent="0.2">
      <c r="A34" s="7" t="s">
        <v>548</v>
      </c>
      <c r="B34" s="7" t="s">
        <v>549</v>
      </c>
      <c r="C34" s="7" t="s">
        <v>162</v>
      </c>
      <c r="D34" s="7" t="s">
        <v>102</v>
      </c>
      <c r="E34" s="7" t="s">
        <v>66</v>
      </c>
      <c r="F34" s="7" t="s">
        <v>80</v>
      </c>
      <c r="G34" s="7" t="s">
        <v>550</v>
      </c>
      <c r="H34" s="7" t="s">
        <v>3198</v>
      </c>
      <c r="I34" s="7" t="s">
        <v>3118</v>
      </c>
      <c r="J34" s="7" t="s">
        <v>80</v>
      </c>
      <c r="K34" s="7" t="s">
        <v>80</v>
      </c>
      <c r="L34" s="7" t="s">
        <v>562</v>
      </c>
    </row>
    <row r="35" spans="1:12" ht="154" x14ac:dyDescent="0.2">
      <c r="A35" s="7" t="s">
        <v>563</v>
      </c>
      <c r="B35" s="7" t="s">
        <v>564</v>
      </c>
      <c r="C35" s="7" t="s">
        <v>177</v>
      </c>
      <c r="D35" s="7" t="s">
        <v>102</v>
      </c>
      <c r="E35" s="7" t="s">
        <v>66</v>
      </c>
      <c r="F35" s="7" t="s">
        <v>77</v>
      </c>
      <c r="G35" s="7" t="s">
        <v>565</v>
      </c>
      <c r="H35" s="7" t="s">
        <v>3198</v>
      </c>
      <c r="I35" s="7" t="s">
        <v>3118</v>
      </c>
      <c r="J35" s="7" t="s">
        <v>80</v>
      </c>
      <c r="K35" s="7" t="s">
        <v>80</v>
      </c>
      <c r="L35" s="7" t="s">
        <v>577</v>
      </c>
    </row>
    <row r="36" spans="1:12" ht="182" x14ac:dyDescent="0.2">
      <c r="A36" s="7" t="s">
        <v>578</v>
      </c>
      <c r="B36" s="7" t="s">
        <v>579</v>
      </c>
      <c r="C36" s="7" t="s">
        <v>534</v>
      </c>
      <c r="D36" s="7" t="s">
        <v>78</v>
      </c>
      <c r="E36" s="7" t="s">
        <v>66</v>
      </c>
      <c r="F36" s="7" t="s">
        <v>77</v>
      </c>
      <c r="G36" s="7" t="s">
        <v>580</v>
      </c>
      <c r="H36" s="7" t="s">
        <v>3198</v>
      </c>
      <c r="I36" s="7" t="s">
        <v>3197</v>
      </c>
      <c r="J36" s="7" t="s">
        <v>80</v>
      </c>
      <c r="K36" s="7" t="s">
        <v>80</v>
      </c>
      <c r="L36" s="7" t="s">
        <v>592</v>
      </c>
    </row>
    <row r="37" spans="1:12" ht="112" x14ac:dyDescent="0.2">
      <c r="A37" s="7" t="s">
        <v>593</v>
      </c>
      <c r="B37" s="7" t="s">
        <v>594</v>
      </c>
      <c r="C37" s="7" t="s">
        <v>109</v>
      </c>
      <c r="D37" s="7" t="s">
        <v>78</v>
      </c>
      <c r="E37" s="7" t="s">
        <v>66</v>
      </c>
      <c r="F37" s="7" t="s">
        <v>77</v>
      </c>
      <c r="G37" s="7" t="s">
        <v>595</v>
      </c>
      <c r="H37" s="7" t="s">
        <v>3198</v>
      </c>
      <c r="I37" s="7" t="s">
        <v>3197</v>
      </c>
      <c r="J37" s="7" t="s">
        <v>80</v>
      </c>
      <c r="K37" s="7" t="s">
        <v>80</v>
      </c>
      <c r="L37" s="7" t="s">
        <v>606</v>
      </c>
    </row>
    <row r="38" spans="1:12" ht="70" x14ac:dyDescent="0.2">
      <c r="A38" s="7" t="s">
        <v>607</v>
      </c>
      <c r="B38" s="7" t="s">
        <v>608</v>
      </c>
      <c r="C38" s="7" t="s">
        <v>177</v>
      </c>
      <c r="D38" s="7" t="s">
        <v>208</v>
      </c>
      <c r="E38" s="7" t="s">
        <v>66</v>
      </c>
      <c r="F38" s="7" t="s">
        <v>77</v>
      </c>
      <c r="G38" s="7" t="s">
        <v>609</v>
      </c>
      <c r="H38" s="7" t="s">
        <v>3198</v>
      </c>
      <c r="I38" s="7" t="s">
        <v>3197</v>
      </c>
      <c r="J38" s="7" t="s">
        <v>80</v>
      </c>
      <c r="K38" s="7" t="s">
        <v>80</v>
      </c>
      <c r="L38" s="7" t="s">
        <v>621</v>
      </c>
    </row>
    <row r="39" spans="1:12" ht="70" x14ac:dyDescent="0.2">
      <c r="A39" s="7" t="s">
        <v>622</v>
      </c>
      <c r="B39" s="7" t="s">
        <v>623</v>
      </c>
      <c r="C39" s="7" t="s">
        <v>503</v>
      </c>
      <c r="D39" s="7" t="s">
        <v>102</v>
      </c>
      <c r="E39" s="7" t="s">
        <v>116</v>
      </c>
      <c r="F39" s="7" t="s">
        <v>77</v>
      </c>
      <c r="G39" s="7" t="s">
        <v>624</v>
      </c>
      <c r="H39" s="7" t="s">
        <v>3198</v>
      </c>
      <c r="I39" s="7" t="s">
        <v>3118</v>
      </c>
      <c r="J39" s="7" t="s">
        <v>80</v>
      </c>
      <c r="K39" s="7" t="s">
        <v>80</v>
      </c>
      <c r="L39" s="7" t="s">
        <v>637</v>
      </c>
    </row>
    <row r="40" spans="1:12" ht="70" x14ac:dyDescent="0.2">
      <c r="A40" s="7" t="s">
        <v>638</v>
      </c>
      <c r="B40" s="7" t="s">
        <v>639</v>
      </c>
      <c r="C40" s="7" t="s">
        <v>146</v>
      </c>
      <c r="D40" s="7" t="s">
        <v>102</v>
      </c>
      <c r="E40" s="7" t="s">
        <v>66</v>
      </c>
      <c r="F40" s="7" t="s">
        <v>77</v>
      </c>
      <c r="G40" s="7" t="s">
        <v>640</v>
      </c>
      <c r="H40" s="7" t="s">
        <v>3198</v>
      </c>
      <c r="I40" s="7" t="s">
        <v>3118</v>
      </c>
      <c r="J40" s="7" t="s">
        <v>80</v>
      </c>
      <c r="K40" s="7" t="s">
        <v>80</v>
      </c>
      <c r="L40" s="7" t="s">
        <v>653</v>
      </c>
    </row>
    <row r="41" spans="1:12" ht="140" x14ac:dyDescent="0.2">
      <c r="A41" s="7" t="s">
        <v>654</v>
      </c>
      <c r="B41" s="7" t="s">
        <v>639</v>
      </c>
      <c r="C41" s="7" t="s">
        <v>146</v>
      </c>
      <c r="D41" s="7" t="s">
        <v>78</v>
      </c>
      <c r="E41" s="7" t="s">
        <v>66</v>
      </c>
      <c r="F41" s="7" t="s">
        <v>77</v>
      </c>
      <c r="G41" s="7" t="s">
        <v>655</v>
      </c>
      <c r="H41" s="7" t="s">
        <v>3198</v>
      </c>
      <c r="I41" s="7" t="s">
        <v>3197</v>
      </c>
      <c r="J41" s="7" t="s">
        <v>80</v>
      </c>
      <c r="K41" s="7" t="s">
        <v>80</v>
      </c>
      <c r="L41" s="7" t="s">
        <v>664</v>
      </c>
    </row>
    <row r="42" spans="1:12" ht="84" x14ac:dyDescent="0.2">
      <c r="A42" s="7" t="s">
        <v>665</v>
      </c>
      <c r="B42" s="7" t="s">
        <v>639</v>
      </c>
      <c r="C42" s="7" t="s">
        <v>109</v>
      </c>
      <c r="D42" s="7" t="s">
        <v>78</v>
      </c>
      <c r="E42" s="7" t="s">
        <v>66</v>
      </c>
      <c r="F42" s="7" t="s">
        <v>77</v>
      </c>
      <c r="G42" s="7" t="s">
        <v>666</v>
      </c>
      <c r="H42" s="7" t="s">
        <v>3198</v>
      </c>
      <c r="I42" s="7" t="s">
        <v>3197</v>
      </c>
      <c r="J42" s="7" t="s">
        <v>80</v>
      </c>
      <c r="K42" s="7" t="s">
        <v>80</v>
      </c>
      <c r="L42" s="7" t="s">
        <v>674</v>
      </c>
    </row>
    <row r="43" spans="1:12" ht="84" x14ac:dyDescent="0.2">
      <c r="A43" s="7" t="s">
        <v>675</v>
      </c>
      <c r="B43" s="7" t="s">
        <v>676</v>
      </c>
      <c r="C43" s="7" t="s">
        <v>162</v>
      </c>
      <c r="D43" s="7" t="s">
        <v>78</v>
      </c>
      <c r="E43" s="7" t="s">
        <v>681</v>
      </c>
      <c r="F43" s="7" t="s">
        <v>77</v>
      </c>
      <c r="G43" s="7" t="s">
        <v>677</v>
      </c>
      <c r="H43" s="7" t="s">
        <v>3198</v>
      </c>
      <c r="I43" s="7" t="s">
        <v>3197</v>
      </c>
      <c r="J43" s="7" t="s">
        <v>80</v>
      </c>
      <c r="K43" s="7" t="s">
        <v>80</v>
      </c>
      <c r="L43" s="7" t="s">
        <v>691</v>
      </c>
    </row>
    <row r="44" spans="1:12" ht="84" x14ac:dyDescent="0.2">
      <c r="A44" s="7" t="s">
        <v>692</v>
      </c>
      <c r="B44" s="7" t="s">
        <v>693</v>
      </c>
      <c r="C44" s="7" t="s">
        <v>57</v>
      </c>
      <c r="D44" s="7" t="s">
        <v>102</v>
      </c>
      <c r="E44" s="7" t="s">
        <v>66</v>
      </c>
      <c r="F44" s="7" t="s">
        <v>77</v>
      </c>
      <c r="G44" s="7" t="s">
        <v>694</v>
      </c>
      <c r="H44" s="7" t="s">
        <v>3198</v>
      </c>
      <c r="I44" s="7" t="s">
        <v>3118</v>
      </c>
      <c r="J44" s="7" t="s">
        <v>80</v>
      </c>
      <c r="K44" s="7" t="s">
        <v>80</v>
      </c>
      <c r="L44" s="7" t="s">
        <v>707</v>
      </c>
    </row>
    <row r="45" spans="1:12" ht="196" x14ac:dyDescent="0.2">
      <c r="A45" s="7" t="s">
        <v>708</v>
      </c>
      <c r="B45" s="7" t="s">
        <v>709</v>
      </c>
      <c r="C45" s="7" t="s">
        <v>57</v>
      </c>
      <c r="D45" s="7" t="s">
        <v>208</v>
      </c>
      <c r="E45" s="7" t="s">
        <v>681</v>
      </c>
      <c r="F45" s="7" t="s">
        <v>77</v>
      </c>
      <c r="G45" s="7" t="s">
        <v>710</v>
      </c>
      <c r="H45" s="7" t="s">
        <v>3198</v>
      </c>
      <c r="I45" s="7" t="s">
        <v>3197</v>
      </c>
      <c r="J45" s="7" t="s">
        <v>80</v>
      </c>
      <c r="K45" s="7" t="s">
        <v>80</v>
      </c>
      <c r="L45" s="7" t="s">
        <v>722</v>
      </c>
    </row>
    <row r="46" spans="1:12" ht="98" x14ac:dyDescent="0.2">
      <c r="A46" s="7" t="s">
        <v>723</v>
      </c>
      <c r="B46" s="7" t="s">
        <v>709</v>
      </c>
      <c r="C46" s="7" t="s">
        <v>194</v>
      </c>
      <c r="D46" s="7" t="s">
        <v>208</v>
      </c>
      <c r="E46" s="7" t="s">
        <v>66</v>
      </c>
      <c r="F46" s="7" t="s">
        <v>77</v>
      </c>
      <c r="G46" s="7" t="s">
        <v>724</v>
      </c>
      <c r="H46" s="7" t="s">
        <v>3198</v>
      </c>
      <c r="I46" s="7" t="s">
        <v>3197</v>
      </c>
      <c r="J46" s="7" t="s">
        <v>80</v>
      </c>
      <c r="K46" s="7" t="s">
        <v>80</v>
      </c>
      <c r="L46" s="7" t="s">
        <v>737</v>
      </c>
    </row>
    <row r="47" spans="1:12" ht="70" x14ac:dyDescent="0.2">
      <c r="A47" s="7" t="s">
        <v>738</v>
      </c>
      <c r="B47" s="7" t="s">
        <v>739</v>
      </c>
      <c r="C47" s="7" t="s">
        <v>177</v>
      </c>
      <c r="D47" s="7" t="s">
        <v>369</v>
      </c>
      <c r="E47" s="7" t="s">
        <v>66</v>
      </c>
      <c r="F47" s="7" t="s">
        <v>77</v>
      </c>
      <c r="G47" s="7" t="s">
        <v>740</v>
      </c>
      <c r="H47" s="7" t="s">
        <v>3198</v>
      </c>
      <c r="I47" s="7" t="s">
        <v>3197</v>
      </c>
      <c r="J47" s="7" t="s">
        <v>80</v>
      </c>
      <c r="K47" s="7" t="s">
        <v>80</v>
      </c>
      <c r="L47" s="7" t="s">
        <v>751</v>
      </c>
    </row>
    <row r="48" spans="1:12" ht="98" x14ac:dyDescent="0.2">
      <c r="A48" s="7" t="s">
        <v>752</v>
      </c>
      <c r="B48" s="7" t="s">
        <v>753</v>
      </c>
      <c r="C48" s="7" t="s">
        <v>503</v>
      </c>
      <c r="D48" s="7" t="s">
        <v>102</v>
      </c>
      <c r="E48" s="7" t="s">
        <v>66</v>
      </c>
      <c r="F48" s="7" t="s">
        <v>77</v>
      </c>
      <c r="G48" s="7" t="s">
        <v>754</v>
      </c>
      <c r="H48" s="7" t="s">
        <v>3198</v>
      </c>
      <c r="I48" s="7" t="s">
        <v>3118</v>
      </c>
      <c r="J48" s="7" t="s">
        <v>80</v>
      </c>
      <c r="K48" s="7" t="s">
        <v>80</v>
      </c>
      <c r="L48" s="7" t="s">
        <v>765</v>
      </c>
    </row>
    <row r="49" spans="1:12" ht="56" x14ac:dyDescent="0.2">
      <c r="A49" s="7" t="s">
        <v>766</v>
      </c>
      <c r="B49" s="7" t="s">
        <v>767</v>
      </c>
      <c r="C49" s="7" t="s">
        <v>194</v>
      </c>
      <c r="D49" s="7" t="s">
        <v>102</v>
      </c>
      <c r="E49" s="7" t="s">
        <v>66</v>
      </c>
      <c r="F49" s="7" t="s">
        <v>77</v>
      </c>
      <c r="G49" s="7" t="s">
        <v>768</v>
      </c>
      <c r="H49" s="7" t="s">
        <v>3198</v>
      </c>
      <c r="I49" s="7" t="s">
        <v>3118</v>
      </c>
      <c r="J49" s="7" t="s">
        <v>80</v>
      </c>
      <c r="K49" s="7" t="s">
        <v>80</v>
      </c>
      <c r="L49" s="7" t="s">
        <v>779</v>
      </c>
    </row>
    <row r="50" spans="1:12" ht="98" x14ac:dyDescent="0.2">
      <c r="A50" s="7" t="s">
        <v>780</v>
      </c>
      <c r="B50" s="7" t="s">
        <v>781</v>
      </c>
      <c r="C50" s="7" t="s">
        <v>109</v>
      </c>
      <c r="D50" s="7" t="s">
        <v>78</v>
      </c>
      <c r="E50" s="7" t="s">
        <v>66</v>
      </c>
      <c r="F50" s="7" t="s">
        <v>77</v>
      </c>
      <c r="G50" s="7" t="s">
        <v>782</v>
      </c>
      <c r="H50" s="7" t="s">
        <v>3198</v>
      </c>
      <c r="I50" s="7" t="s">
        <v>3197</v>
      </c>
      <c r="J50" s="7" t="s">
        <v>80</v>
      </c>
      <c r="K50" s="7" t="s">
        <v>80</v>
      </c>
      <c r="L50" s="7" t="s">
        <v>792</v>
      </c>
    </row>
    <row r="51" spans="1:12" ht="238" x14ac:dyDescent="0.2">
      <c r="A51" s="7" t="s">
        <v>793</v>
      </c>
      <c r="B51" s="7" t="s">
        <v>594</v>
      </c>
      <c r="C51" s="7" t="s">
        <v>177</v>
      </c>
      <c r="D51" s="7" t="s">
        <v>78</v>
      </c>
      <c r="E51" s="7" t="s">
        <v>66</v>
      </c>
      <c r="F51" s="7" t="s">
        <v>77</v>
      </c>
      <c r="G51" s="7" t="s">
        <v>794</v>
      </c>
      <c r="H51" s="7" t="s">
        <v>3198</v>
      </c>
      <c r="I51" s="7" t="s">
        <v>3197</v>
      </c>
      <c r="J51" s="7" t="s">
        <v>80</v>
      </c>
      <c r="K51" s="7" t="s">
        <v>80</v>
      </c>
      <c r="L51" s="7" t="s">
        <v>801</v>
      </c>
    </row>
    <row r="52" spans="1:12" ht="126" x14ac:dyDescent="0.2">
      <c r="A52" s="7" t="s">
        <v>802</v>
      </c>
      <c r="B52" s="7" t="s">
        <v>803</v>
      </c>
      <c r="C52" s="7" t="s">
        <v>503</v>
      </c>
      <c r="D52" s="7" t="s">
        <v>369</v>
      </c>
      <c r="E52" s="7" t="s">
        <v>66</v>
      </c>
      <c r="F52" s="7" t="s">
        <v>77</v>
      </c>
      <c r="G52" s="7" t="s">
        <v>804</v>
      </c>
      <c r="H52" s="7" t="s">
        <v>3198</v>
      </c>
      <c r="I52" s="7" t="s">
        <v>3197</v>
      </c>
      <c r="J52" s="7" t="s">
        <v>80</v>
      </c>
      <c r="K52" s="7" t="s">
        <v>80</v>
      </c>
      <c r="L52" s="7" t="s">
        <v>816</v>
      </c>
    </row>
    <row r="53" spans="1:12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</sheetData>
  <dataValidations count="5">
    <dataValidation type="list" allowBlank="1" sqref="D4:D80" xr:uid="{00000000-0002-0000-0800-000000000000}">
      <formula1>"Include - network,Include - pairwise only,Include - sensitivity only,Background / context only,Exclude,TBD - confirm at full text"</formula1>
      <formula2>0</formula2>
    </dataValidation>
    <dataValidation type="list" allowBlank="1" sqref="E4:E80" xr:uid="{00000000-0002-0000-0800-000001000000}">
      <formula1>"HIV-positive,Non-HIV immunocompromised,Mixed,NR"</formula1>
      <formula2>0</formula2>
    </dataValidation>
    <dataValidation type="list" allowBlank="1" sqref="F4:F80 J4:K80" xr:uid="{00000000-0002-0000-0800-000002000000}">
      <formula1>"Yes,No,NR,NA"</formula1>
      <formula2>0</formula2>
    </dataValidation>
    <dataValidation type="list" allowBlank="1" sqref="H4:H80" xr:uid="{00000000-0002-0000-0800-000003000000}">
      <formula1>"Not started,In progress,Reviewer A done,Reviewer B done,Conflicts flagged,Reconciled / consensus"</formula1>
      <formula2>0</formula2>
    </dataValidation>
    <dataValidation type="list" allowBlank="1" sqref="I4:I80" xr:uid="{00000000-0002-0000-0800-000004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1"/>
  <sheetViews>
    <sheetView showGridLines="0" tabSelected="1" zoomScaleNormal="100" workbookViewId="0"/>
  </sheetViews>
  <sheetFormatPr baseColWidth="10" defaultColWidth="8.6640625" defaultRowHeight="15" x14ac:dyDescent="0.2"/>
  <cols>
    <col min="1" max="1" width="34" customWidth="1"/>
    <col min="2" max="2" width="42" customWidth="1"/>
    <col min="3" max="3" width="90" customWidth="1"/>
  </cols>
  <sheetData>
    <row r="1" spans="1:3" ht="17" x14ac:dyDescent="0.2">
      <c r="A1" s="1" t="s">
        <v>3201</v>
      </c>
    </row>
    <row r="3" spans="1:3" ht="30" customHeight="1" x14ac:dyDescent="0.2">
      <c r="A3" s="5" t="s">
        <v>3202</v>
      </c>
      <c r="B3" s="5" t="s">
        <v>3203</v>
      </c>
      <c r="C3" s="5" t="s">
        <v>3204</v>
      </c>
    </row>
    <row r="4" spans="1:3" x14ac:dyDescent="0.2">
      <c r="A4" s="12" t="s">
        <v>3205</v>
      </c>
      <c r="B4" s="12"/>
      <c r="C4" s="12"/>
    </row>
    <row r="5" spans="1:3" x14ac:dyDescent="0.2">
      <c r="A5" s="13" t="s">
        <v>25</v>
      </c>
      <c r="B5" s="14"/>
      <c r="C5" s="14" t="s">
        <v>3206</v>
      </c>
    </row>
    <row r="6" spans="1:3" ht="42" x14ac:dyDescent="0.2">
      <c r="A6" s="13" t="s">
        <v>31</v>
      </c>
      <c r="B6" s="14" t="s">
        <v>3207</v>
      </c>
      <c r="C6" s="14" t="s">
        <v>3208</v>
      </c>
    </row>
    <row r="7" spans="1:3" ht="28" x14ac:dyDescent="0.2">
      <c r="A7" s="13" t="s">
        <v>36</v>
      </c>
      <c r="B7" s="14" t="s">
        <v>3209</v>
      </c>
      <c r="C7" s="14" t="s">
        <v>3210</v>
      </c>
    </row>
    <row r="8" spans="1:3" ht="28" x14ac:dyDescent="0.2">
      <c r="A8" s="13" t="s">
        <v>38</v>
      </c>
      <c r="B8" s="14" t="s">
        <v>3211</v>
      </c>
      <c r="C8" s="14" t="s">
        <v>3212</v>
      </c>
    </row>
    <row r="9" spans="1:3" x14ac:dyDescent="0.2">
      <c r="A9" s="13" t="s">
        <v>43</v>
      </c>
      <c r="B9" s="14" t="s">
        <v>3213</v>
      </c>
      <c r="C9" s="14" t="s">
        <v>3214</v>
      </c>
    </row>
    <row r="10" spans="1:3" x14ac:dyDescent="0.2">
      <c r="A10" s="13" t="s">
        <v>44</v>
      </c>
      <c r="B10" s="14" t="s">
        <v>3215</v>
      </c>
      <c r="C10" s="14" t="s">
        <v>3216</v>
      </c>
    </row>
    <row r="11" spans="1:3" ht="42" x14ac:dyDescent="0.2">
      <c r="A11" s="13" t="s">
        <v>45</v>
      </c>
      <c r="B11" s="14" t="s">
        <v>3217</v>
      </c>
      <c r="C11" s="14" t="s">
        <v>3218</v>
      </c>
    </row>
    <row r="12" spans="1:3" x14ac:dyDescent="0.2">
      <c r="A12" s="13" t="s">
        <v>47</v>
      </c>
      <c r="B12" s="14" t="s">
        <v>3219</v>
      </c>
      <c r="C12" s="14" t="s">
        <v>3220</v>
      </c>
    </row>
    <row r="13" spans="1:3" ht="42" x14ac:dyDescent="0.2">
      <c r="A13" s="13" t="s">
        <v>48</v>
      </c>
      <c r="B13" s="14" t="s">
        <v>3221</v>
      </c>
      <c r="C13" s="14" t="s">
        <v>3222</v>
      </c>
    </row>
    <row r="14" spans="1:3" x14ac:dyDescent="0.2">
      <c r="A14" s="12" t="s">
        <v>3223</v>
      </c>
      <c r="B14" s="12"/>
      <c r="C14" s="12"/>
    </row>
    <row r="15" spans="1:3" ht="84" x14ac:dyDescent="0.2">
      <c r="A15" s="13" t="s">
        <v>820</v>
      </c>
      <c r="B15" s="14" t="s">
        <v>3224</v>
      </c>
      <c r="C15" s="14" t="s">
        <v>3225</v>
      </c>
    </row>
    <row r="16" spans="1:3" x14ac:dyDescent="0.2">
      <c r="A16" s="13" t="s">
        <v>826</v>
      </c>
      <c r="B16" s="14" t="s">
        <v>3226</v>
      </c>
      <c r="C16" s="14" t="s">
        <v>3227</v>
      </c>
    </row>
    <row r="17" spans="1:3" x14ac:dyDescent="0.2">
      <c r="A17" s="13" t="s">
        <v>831</v>
      </c>
      <c r="B17" s="14" t="s">
        <v>3228</v>
      </c>
      <c r="C17" s="14" t="s">
        <v>3229</v>
      </c>
    </row>
    <row r="18" spans="1:3" x14ac:dyDescent="0.2">
      <c r="A18" s="13" t="s">
        <v>3230</v>
      </c>
      <c r="B18" s="14" t="s">
        <v>3231</v>
      </c>
      <c r="C18" s="14" t="s">
        <v>3232</v>
      </c>
    </row>
    <row r="19" spans="1:3" x14ac:dyDescent="0.2">
      <c r="A19" s="13" t="s">
        <v>825</v>
      </c>
      <c r="B19" s="14" t="s">
        <v>3233</v>
      </c>
      <c r="C19" s="14" t="s">
        <v>3234</v>
      </c>
    </row>
    <row r="20" spans="1:3" x14ac:dyDescent="0.2">
      <c r="A20" s="12" t="s">
        <v>3235</v>
      </c>
      <c r="B20" s="12"/>
      <c r="C20" s="12"/>
    </row>
    <row r="21" spans="1:3" ht="126" x14ac:dyDescent="0.2">
      <c r="A21" s="13" t="s">
        <v>1652</v>
      </c>
      <c r="B21" s="14" t="s">
        <v>3236</v>
      </c>
      <c r="C21" s="14" t="s">
        <v>3237</v>
      </c>
    </row>
    <row r="22" spans="1:3" ht="28" x14ac:dyDescent="0.2">
      <c r="A22" s="13" t="s">
        <v>3238</v>
      </c>
      <c r="B22" s="14" t="s">
        <v>3239</v>
      </c>
      <c r="C22" s="14" t="s">
        <v>3240</v>
      </c>
    </row>
    <row r="23" spans="1:3" x14ac:dyDescent="0.2">
      <c r="A23" s="13" t="s">
        <v>3241</v>
      </c>
      <c r="B23" s="14" t="s">
        <v>3242</v>
      </c>
      <c r="C23" s="14" t="s">
        <v>3243</v>
      </c>
    </row>
    <row r="24" spans="1:3" x14ac:dyDescent="0.2">
      <c r="A24" s="13" t="s">
        <v>3244</v>
      </c>
      <c r="B24" s="14" t="s">
        <v>3242</v>
      </c>
      <c r="C24" s="14" t="s">
        <v>3245</v>
      </c>
    </row>
    <row r="25" spans="1:3" x14ac:dyDescent="0.2">
      <c r="A25" s="12" t="s">
        <v>3246</v>
      </c>
      <c r="B25" s="12"/>
      <c r="C25" s="12"/>
    </row>
    <row r="26" spans="1:3" ht="28" x14ac:dyDescent="0.2">
      <c r="A26" s="13" t="s">
        <v>2503</v>
      </c>
      <c r="B26" s="14" t="s">
        <v>3247</v>
      </c>
      <c r="C26" s="14" t="s">
        <v>3248</v>
      </c>
    </row>
    <row r="27" spans="1:3" x14ac:dyDescent="0.2">
      <c r="A27" s="13" t="s">
        <v>2508</v>
      </c>
      <c r="B27" s="14" t="s">
        <v>3249</v>
      </c>
      <c r="C27" s="14" t="s">
        <v>3250</v>
      </c>
    </row>
    <row r="28" spans="1:3" x14ac:dyDescent="0.2">
      <c r="A28" s="13" t="s">
        <v>3251</v>
      </c>
      <c r="B28" s="14" t="s">
        <v>3242</v>
      </c>
      <c r="C28" s="14" t="s">
        <v>3252</v>
      </c>
    </row>
    <row r="29" spans="1:3" x14ac:dyDescent="0.2">
      <c r="A29" s="12" t="s">
        <v>3253</v>
      </c>
      <c r="B29" s="12"/>
      <c r="C29" s="12"/>
    </row>
    <row r="30" spans="1:3" x14ac:dyDescent="0.2">
      <c r="A30" s="13" t="s">
        <v>2799</v>
      </c>
      <c r="B30" s="14" t="s">
        <v>3215</v>
      </c>
      <c r="C30" s="14" t="s">
        <v>3254</v>
      </c>
    </row>
    <row r="31" spans="1:3" ht="28" x14ac:dyDescent="0.2">
      <c r="A31" s="13" t="s">
        <v>2804</v>
      </c>
      <c r="B31" s="14" t="s">
        <v>3255</v>
      </c>
      <c r="C31" s="14" t="s">
        <v>3256</v>
      </c>
    </row>
    <row r="32" spans="1:3" x14ac:dyDescent="0.2">
      <c r="A32" s="13" t="s">
        <v>2805</v>
      </c>
      <c r="B32" s="14" t="s">
        <v>3242</v>
      </c>
      <c r="C32" s="14" t="s">
        <v>3257</v>
      </c>
    </row>
    <row r="33" spans="1:3" x14ac:dyDescent="0.2">
      <c r="A33" s="12" t="s">
        <v>3258</v>
      </c>
      <c r="B33" s="12"/>
      <c r="C33" s="12"/>
    </row>
    <row r="34" spans="1:3" x14ac:dyDescent="0.2">
      <c r="A34" s="13" t="s">
        <v>3105</v>
      </c>
      <c r="B34" s="14" t="s">
        <v>3259</v>
      </c>
      <c r="C34" s="14" t="s">
        <v>3260</v>
      </c>
    </row>
    <row r="35" spans="1:3" ht="42" x14ac:dyDescent="0.2">
      <c r="A35" s="13" t="s">
        <v>3261</v>
      </c>
      <c r="B35" s="14" t="s">
        <v>3262</v>
      </c>
      <c r="C35" s="14" t="s">
        <v>3263</v>
      </c>
    </row>
    <row r="36" spans="1:3" ht="28" x14ac:dyDescent="0.2">
      <c r="A36" s="13" t="s">
        <v>3264</v>
      </c>
      <c r="B36" s="14" t="s">
        <v>3265</v>
      </c>
      <c r="C36" s="14" t="s">
        <v>3266</v>
      </c>
    </row>
    <row r="37" spans="1:3" x14ac:dyDescent="0.2">
      <c r="A37" s="12" t="s">
        <v>3267</v>
      </c>
      <c r="B37" s="12"/>
      <c r="C37" s="12"/>
    </row>
    <row r="38" spans="1:3" ht="42" x14ac:dyDescent="0.2">
      <c r="A38" s="13" t="s">
        <v>3178</v>
      </c>
      <c r="B38" s="14" t="s">
        <v>3268</v>
      </c>
      <c r="C38" s="14" t="s">
        <v>3269</v>
      </c>
    </row>
    <row r="39" spans="1:3" x14ac:dyDescent="0.2">
      <c r="A39" s="12" t="s">
        <v>3270</v>
      </c>
      <c r="B39" s="12"/>
      <c r="C39" s="12"/>
    </row>
    <row r="40" spans="1:3" x14ac:dyDescent="0.2">
      <c r="A40" s="13" t="s">
        <v>3271</v>
      </c>
      <c r="B40" s="14"/>
      <c r="C40" s="14" t="s">
        <v>3272</v>
      </c>
    </row>
    <row r="41" spans="1:3" x14ac:dyDescent="0.2">
      <c r="A41" s="13" t="s">
        <v>3273</v>
      </c>
      <c r="B41" s="14"/>
      <c r="C41" s="14" t="s">
        <v>3274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0"/>
  <sheetViews>
    <sheetView showGridLines="0" zoomScaleNormal="100" workbookViewId="0"/>
  </sheetViews>
  <sheetFormatPr baseColWidth="10" defaultColWidth="8.6640625" defaultRowHeight="15" x14ac:dyDescent="0.2"/>
  <cols>
    <col min="1" max="4" width="12" customWidth="1"/>
    <col min="5" max="5" width="15" customWidth="1"/>
    <col min="6" max="7" width="12" customWidth="1"/>
    <col min="8" max="8" width="13" customWidth="1"/>
    <col min="9" max="9" width="20" customWidth="1"/>
    <col min="10" max="10" width="18" customWidth="1"/>
    <col min="11" max="13" width="12" customWidth="1"/>
    <col min="14" max="14" width="13" customWidth="1"/>
    <col min="15" max="17" width="12" customWidth="1"/>
    <col min="18" max="19" width="16" customWidth="1"/>
    <col min="20" max="22" width="12" customWidth="1"/>
  </cols>
  <sheetData>
    <row r="1" spans="1:22" x14ac:dyDescent="0.2">
      <c r="A1" s="15" t="s">
        <v>31</v>
      </c>
      <c r="B1" s="15" t="s">
        <v>32</v>
      </c>
      <c r="C1" s="15" t="s">
        <v>35</v>
      </c>
      <c r="D1" s="15" t="s">
        <v>3275</v>
      </c>
      <c r="E1" s="15" t="s">
        <v>3276</v>
      </c>
      <c r="F1" s="15" t="s">
        <v>3277</v>
      </c>
      <c r="G1" s="15" t="s">
        <v>823</v>
      </c>
      <c r="H1" s="15" t="s">
        <v>3278</v>
      </c>
      <c r="I1" s="15" t="s">
        <v>3279</v>
      </c>
      <c r="J1" s="15" t="s">
        <v>3280</v>
      </c>
      <c r="K1" s="15" t="s">
        <v>3281</v>
      </c>
      <c r="L1" s="15" t="s">
        <v>3282</v>
      </c>
      <c r="M1" s="15" t="s">
        <v>1652</v>
      </c>
      <c r="N1" s="15" t="s">
        <v>3283</v>
      </c>
      <c r="O1" s="15" t="s">
        <v>3284</v>
      </c>
      <c r="P1" s="15" t="s">
        <v>3285</v>
      </c>
      <c r="Q1" s="15" t="s">
        <v>3286</v>
      </c>
      <c r="R1" s="15" t="s">
        <v>3287</v>
      </c>
      <c r="S1" s="15" t="s">
        <v>3288</v>
      </c>
      <c r="T1" s="15" t="s">
        <v>52</v>
      </c>
      <c r="U1" s="15" t="s">
        <v>3289</v>
      </c>
      <c r="V1" s="15" t="s">
        <v>3192</v>
      </c>
    </row>
    <row r="2" spans="1:22" x14ac:dyDescent="0.2">
      <c r="A2" s="16" t="s">
        <v>357</v>
      </c>
      <c r="B2" s="16" t="s">
        <v>89</v>
      </c>
      <c r="C2" s="16" t="s">
        <v>555</v>
      </c>
      <c r="D2" s="16" t="s">
        <v>681</v>
      </c>
      <c r="E2" s="16" t="s">
        <v>68</v>
      </c>
      <c r="F2" s="16" t="s">
        <v>99</v>
      </c>
      <c r="G2" s="16" t="s">
        <v>888</v>
      </c>
      <c r="H2" s="16" t="s">
        <v>139</v>
      </c>
      <c r="I2" s="16" t="s">
        <v>2809</v>
      </c>
      <c r="J2" s="16" t="s">
        <v>3290</v>
      </c>
      <c r="K2" s="16" t="s">
        <v>2516</v>
      </c>
      <c r="L2" s="16" t="s">
        <v>3291</v>
      </c>
      <c r="M2" s="16" t="s">
        <v>1690</v>
      </c>
      <c r="N2" s="16" t="s">
        <v>78</v>
      </c>
      <c r="O2" s="16" t="s">
        <v>3115</v>
      </c>
      <c r="P2" s="16" t="s">
        <v>3118</v>
      </c>
      <c r="Q2" s="16" t="s">
        <v>3118</v>
      </c>
      <c r="R2" s="16" t="s">
        <v>3292</v>
      </c>
      <c r="S2" s="16" t="s">
        <v>3293</v>
      </c>
      <c r="T2" s="16" t="s">
        <v>81</v>
      </c>
      <c r="U2" s="16" t="s">
        <v>77</v>
      </c>
      <c r="V2" s="16" t="s">
        <v>3197</v>
      </c>
    </row>
    <row r="3" spans="1:22" x14ac:dyDescent="0.2">
      <c r="A3" s="16" t="s">
        <v>3294</v>
      </c>
      <c r="B3" s="16" t="s">
        <v>62</v>
      </c>
      <c r="C3" s="16" t="s">
        <v>65</v>
      </c>
      <c r="D3" s="16" t="s">
        <v>66</v>
      </c>
      <c r="E3" s="16" t="s">
        <v>94</v>
      </c>
      <c r="F3" s="16" t="s">
        <v>1209</v>
      </c>
      <c r="G3" s="16" t="s">
        <v>919</v>
      </c>
      <c r="H3" s="16" t="s">
        <v>74</v>
      </c>
      <c r="I3" s="16" t="s">
        <v>3295</v>
      </c>
      <c r="J3" s="16" t="s">
        <v>3296</v>
      </c>
      <c r="K3" s="16" t="s">
        <v>3297</v>
      </c>
      <c r="L3" s="16" t="s">
        <v>2512</v>
      </c>
      <c r="M3" s="16" t="s">
        <v>1660</v>
      </c>
      <c r="N3" s="16" t="s">
        <v>208</v>
      </c>
      <c r="O3" s="16" t="s">
        <v>3137</v>
      </c>
      <c r="P3" s="16" t="s">
        <v>3117</v>
      </c>
      <c r="Q3" s="16" t="s">
        <v>3298</v>
      </c>
      <c r="R3" s="16" t="s">
        <v>3198</v>
      </c>
      <c r="S3" s="16" t="s">
        <v>3292</v>
      </c>
      <c r="T3" s="16" t="s">
        <v>3299</v>
      </c>
      <c r="U3" s="16" t="s">
        <v>80</v>
      </c>
      <c r="V3" s="16" t="s">
        <v>3300</v>
      </c>
    </row>
    <row r="4" spans="1:22" x14ac:dyDescent="0.2">
      <c r="A4" s="16" t="s">
        <v>61</v>
      </c>
      <c r="B4" s="16" t="s">
        <v>3301</v>
      </c>
      <c r="C4" s="16" t="s">
        <v>92</v>
      </c>
      <c r="D4" s="16" t="s">
        <v>116</v>
      </c>
      <c r="E4" s="16" t="s">
        <v>714</v>
      </c>
      <c r="F4" s="16" t="s">
        <v>253</v>
      </c>
      <c r="G4" s="16" t="s">
        <v>842</v>
      </c>
      <c r="H4" s="16" t="s">
        <v>80</v>
      </c>
      <c r="I4" s="16" t="s">
        <v>3302</v>
      </c>
      <c r="J4" s="16" t="s">
        <v>3303</v>
      </c>
      <c r="K4" s="16" t="s">
        <v>3304</v>
      </c>
      <c r="L4" s="16" t="s">
        <v>3305</v>
      </c>
      <c r="M4" s="16" t="s">
        <v>1727</v>
      </c>
      <c r="N4" s="16" t="s">
        <v>369</v>
      </c>
      <c r="P4" s="16" t="s">
        <v>3116</v>
      </c>
      <c r="Q4" s="16" t="s">
        <v>3197</v>
      </c>
      <c r="R4" s="16" t="s">
        <v>3193</v>
      </c>
      <c r="S4" s="16" t="s">
        <v>3184</v>
      </c>
      <c r="T4" s="16" t="s">
        <v>3306</v>
      </c>
      <c r="U4" s="16" t="s">
        <v>187</v>
      </c>
      <c r="V4" s="16" t="s">
        <v>3118</v>
      </c>
    </row>
    <row r="5" spans="1:22" x14ac:dyDescent="0.2">
      <c r="A5" s="16" t="s">
        <v>3307</v>
      </c>
      <c r="B5" s="16" t="s">
        <v>342</v>
      </c>
      <c r="C5" s="16" t="s">
        <v>3308</v>
      </c>
      <c r="D5" s="16" t="s">
        <v>187</v>
      </c>
      <c r="E5" s="16" t="s">
        <v>116</v>
      </c>
      <c r="F5" s="16" t="s">
        <v>3309</v>
      </c>
      <c r="G5" s="16" t="s">
        <v>3310</v>
      </c>
      <c r="H5" s="16" t="s">
        <v>187</v>
      </c>
      <c r="I5" s="16" t="s">
        <v>187</v>
      </c>
      <c r="J5" s="16" t="s">
        <v>75</v>
      </c>
      <c r="K5" s="16" t="s">
        <v>342</v>
      </c>
      <c r="L5" s="16" t="s">
        <v>3311</v>
      </c>
      <c r="M5" s="16" t="s">
        <v>2007</v>
      </c>
      <c r="N5" s="16" t="s">
        <v>102</v>
      </c>
      <c r="P5" s="16" t="s">
        <v>3129</v>
      </c>
      <c r="R5" s="16" t="s">
        <v>3194</v>
      </c>
      <c r="S5" s="16" t="s">
        <v>3312</v>
      </c>
      <c r="T5" s="16" t="s">
        <v>3313</v>
      </c>
      <c r="U5" s="16" t="s">
        <v>1232</v>
      </c>
    </row>
    <row r="6" spans="1:22" x14ac:dyDescent="0.2">
      <c r="A6" s="16" t="s">
        <v>197</v>
      </c>
      <c r="C6" s="16" t="s">
        <v>342</v>
      </c>
      <c r="E6" s="16" t="s">
        <v>187</v>
      </c>
      <c r="F6" s="16" t="s">
        <v>3314</v>
      </c>
      <c r="G6" s="16" t="s">
        <v>116</v>
      </c>
      <c r="I6" s="16" t="s">
        <v>1232</v>
      </c>
      <c r="J6" s="16" t="s">
        <v>3315</v>
      </c>
      <c r="K6" s="16" t="s">
        <v>187</v>
      </c>
      <c r="L6" s="16" t="s">
        <v>3316</v>
      </c>
      <c r="M6" s="16" t="s">
        <v>1938</v>
      </c>
      <c r="N6" s="16" t="s">
        <v>3317</v>
      </c>
      <c r="P6" s="16" t="s">
        <v>3149</v>
      </c>
      <c r="R6" s="16" t="s">
        <v>3318</v>
      </c>
      <c r="S6" s="16" t="s">
        <v>3319</v>
      </c>
      <c r="T6" s="16" t="s">
        <v>105</v>
      </c>
    </row>
    <row r="7" spans="1:22" x14ac:dyDescent="0.2">
      <c r="A7" s="16" t="s">
        <v>3320</v>
      </c>
      <c r="F7" s="16" t="s">
        <v>348</v>
      </c>
      <c r="G7" s="16" t="s">
        <v>187</v>
      </c>
      <c r="J7" s="16" t="s">
        <v>3321</v>
      </c>
      <c r="K7" s="16" t="s">
        <v>1232</v>
      </c>
      <c r="L7" s="16" t="s">
        <v>342</v>
      </c>
      <c r="M7" s="16" t="s">
        <v>1735</v>
      </c>
      <c r="N7" s="16" t="s">
        <v>3322</v>
      </c>
      <c r="R7" s="16" t="s">
        <v>3323</v>
      </c>
      <c r="S7" s="16" t="s">
        <v>3324</v>
      </c>
    </row>
    <row r="8" spans="1:22" x14ac:dyDescent="0.2">
      <c r="A8" s="16" t="s">
        <v>130</v>
      </c>
      <c r="F8" s="16" t="s">
        <v>3325</v>
      </c>
      <c r="J8" s="16" t="s">
        <v>3326</v>
      </c>
      <c r="M8" s="16" t="s">
        <v>1702</v>
      </c>
      <c r="S8" s="16" t="s">
        <v>3327</v>
      </c>
    </row>
    <row r="9" spans="1:22" x14ac:dyDescent="0.2">
      <c r="A9" s="16" t="s">
        <v>342</v>
      </c>
      <c r="F9" s="16" t="s">
        <v>1454</v>
      </c>
      <c r="M9" s="16" t="s">
        <v>1706</v>
      </c>
      <c r="S9" s="16" t="s">
        <v>3328</v>
      </c>
    </row>
    <row r="10" spans="1:22" x14ac:dyDescent="0.2">
      <c r="F10" s="16" t="s">
        <v>3329</v>
      </c>
      <c r="M10" s="16" t="s">
        <v>1714</v>
      </c>
    </row>
    <row r="11" spans="1:22" x14ac:dyDescent="0.2">
      <c r="F11" s="16" t="s">
        <v>3330</v>
      </c>
      <c r="M11" s="16" t="s">
        <v>1814</v>
      </c>
    </row>
    <row r="12" spans="1:22" x14ac:dyDescent="0.2">
      <c r="F12" s="16" t="s">
        <v>3331</v>
      </c>
      <c r="M12" s="16" t="s">
        <v>2377</v>
      </c>
    </row>
    <row r="13" spans="1:22" x14ac:dyDescent="0.2">
      <c r="F13" s="16" t="s">
        <v>1121</v>
      </c>
      <c r="M13" s="16" t="s">
        <v>1711</v>
      </c>
    </row>
    <row r="14" spans="1:22" x14ac:dyDescent="0.2">
      <c r="F14" s="16" t="s">
        <v>342</v>
      </c>
      <c r="M14" s="16" t="s">
        <v>1760</v>
      </c>
    </row>
    <row r="15" spans="1:22" x14ac:dyDescent="0.2">
      <c r="M15" s="16" t="s">
        <v>2177</v>
      </c>
    </row>
    <row r="16" spans="1:22" x14ac:dyDescent="0.2">
      <c r="M16" s="16" t="s">
        <v>2173</v>
      </c>
    </row>
    <row r="17" spans="13:13" x14ac:dyDescent="0.2">
      <c r="M17" s="16" t="s">
        <v>1801</v>
      </c>
    </row>
    <row r="18" spans="13:13" x14ac:dyDescent="0.2">
      <c r="M18" s="16" t="s">
        <v>2018</v>
      </c>
    </row>
    <row r="19" spans="13:13" x14ac:dyDescent="0.2">
      <c r="M19" s="16" t="s">
        <v>1924</v>
      </c>
    </row>
    <row r="20" spans="13:13" x14ac:dyDescent="0.2">
      <c r="M20" s="16" t="s">
        <v>3332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1_Study_characteristics</vt:lpstr>
      <vt:lpstr>2_Arms_covariates</vt:lpstr>
      <vt:lpstr>3_Outcomes</vt:lpstr>
      <vt:lpstr>4_Beta_D_glucan</vt:lpstr>
      <vt:lpstr>5_Corticosteroids</vt:lpstr>
      <vt:lpstr>6_Risk_of_bias</vt:lpstr>
      <vt:lpstr>7_Author_contact</vt:lpstr>
      <vt:lpstr>8_Study_index</vt:lpstr>
      <vt:lpstr>Codebook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Russell Edward Lewis</cp:lastModifiedBy>
  <cp:revision>0</cp:revision>
  <dcterms:created xsi:type="dcterms:W3CDTF">2026-08-06T12:38:48Z</dcterms:created>
  <dcterms:modified xsi:type="dcterms:W3CDTF">2026-08-06T13:30:47Z</dcterms:modified>
  <dc:language>en-US</dc:language>
</cp:coreProperties>
</file>